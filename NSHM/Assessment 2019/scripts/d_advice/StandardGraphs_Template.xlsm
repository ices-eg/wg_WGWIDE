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G\2019\template\"/>
    </mc:Choice>
  </mc:AlternateContent>
  <bookViews>
    <workbookView xWindow="0" yWindow="0" windowWidth="16200" windowHeight="24075"/>
  </bookViews>
  <sheets>
    <sheet name="Readme" sheetId="4" r:id="rId1"/>
    <sheet name="FishData" sheetId="1" r:id="rId2"/>
    <sheet name="Vocabularies" sheetId="11" r:id="rId3"/>
  </sheets>
  <functionGroups builtInGroupCount="18"/>
  <definedNames>
    <definedName name="Category" localSheetId="2">Vocabularies!$A$3:$A$31</definedName>
    <definedName name="Category">#REF!</definedName>
    <definedName name="StockCodes">FishData!#REF!</definedName>
    <definedName name="StockListCode">FishData!#REF!</definedName>
    <definedName name="ValidAssessYear" localSheetId="2">Vocabularies!#REF!</definedName>
    <definedName name="ValidAssessYear">#REF!</definedName>
    <definedName name="ValidAubundanceUnits" localSheetId="2">Vocabularies!#REF!</definedName>
    <definedName name="ValidAubundanceUnits">#REF!</definedName>
    <definedName name="ValidDataTypes" localSheetId="2">Vocabularies!#REF!</definedName>
    <definedName name="ValidDataTypes">#REF!</definedName>
    <definedName name="ValidMethodNumber" localSheetId="2">Vocabularies!#REF!</definedName>
    <definedName name="ValidMethodNumber">#REF!</definedName>
    <definedName name="ValidStockCodes" localSheetId="2">Vocabularies!#REF!</definedName>
    <definedName name="ValidStockCodes">#REF!</definedName>
  </definedNames>
  <calcPr calcId="162913"/>
</workbook>
</file>

<file path=xl/calcChain.xml><?xml version="1.0" encoding="utf-8"?>
<calcChain xmlns="http://schemas.openxmlformats.org/spreadsheetml/2006/main">
  <c r="Z50" i="1" l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</calcChain>
</file>

<file path=xl/sharedStrings.xml><?xml version="1.0" encoding="utf-8"?>
<sst xmlns="http://schemas.openxmlformats.org/spreadsheetml/2006/main" count="691" uniqueCount="629">
  <si>
    <t>FishStock</t>
  </si>
  <si>
    <t>AssessmentYear</t>
  </si>
  <si>
    <t>Year</t>
  </si>
  <si>
    <t>Recruitment</t>
  </si>
  <si>
    <t>SSB</t>
  </si>
  <si>
    <t>Landings</t>
  </si>
  <si>
    <t>Catches</t>
  </si>
  <si>
    <t>Discards</t>
  </si>
  <si>
    <t>IBC</t>
  </si>
  <si>
    <t>Unallocated_Removals</t>
  </si>
  <si>
    <t>F</t>
  </si>
  <si>
    <t>F_Landings</t>
  </si>
  <si>
    <t>F_Discards</t>
  </si>
  <si>
    <t>F_IBC</t>
  </si>
  <si>
    <t>F_Unallocated</t>
  </si>
  <si>
    <t>Age</t>
  </si>
  <si>
    <t>Total Biomass</t>
  </si>
  <si>
    <t>Management</t>
  </si>
  <si>
    <t xml:space="preserve">MSY </t>
  </si>
  <si>
    <t>Approach</t>
  </si>
  <si>
    <t>Precautionary approach</t>
  </si>
  <si>
    <t xml:space="preserve">Recruitment </t>
  </si>
  <si>
    <t>Length</t>
  </si>
  <si>
    <t xml:space="preserve">Reference points and ages </t>
  </si>
  <si>
    <t>no change = same reference points as last year</t>
  </si>
  <si>
    <t>FishData</t>
  </si>
  <si>
    <t>Sensitivity Data</t>
  </si>
  <si>
    <t xml:space="preserve">This is the information used for calculating YPR reference points. </t>
  </si>
  <si>
    <t>The set up is very similar to .ypr files and the data can be copied in easily</t>
  </si>
  <si>
    <t>Please fill in the summary of the assessment data</t>
  </si>
  <si>
    <t>All green outlined cells should be checked / filled in</t>
  </si>
  <si>
    <t>http://standardgraphs.ices.dk/</t>
  </si>
  <si>
    <t>http://vocab.ices.dk/?ref=357</t>
  </si>
  <si>
    <t xml:space="preserve">List of the available stock codes in the standard graph database:  </t>
  </si>
  <si>
    <t>..</t>
  </si>
  <si>
    <t>The column headers refer to the line headers used in the .sen file</t>
  </si>
  <si>
    <t xml:space="preserve"> - copy in the values from the .sen file under the correct headers</t>
  </si>
  <si>
    <t>2) EXPORT TO XML TEMPLATE</t>
  </si>
  <si>
    <t xml:space="preserve">Click the 'export' button on the Fishdata page and save the .xml file </t>
  </si>
  <si>
    <t>The .xml file can then be uploaded to the Standard Graph database via:</t>
  </si>
  <si>
    <t>Custom1</t>
  </si>
  <si>
    <t>Custom4</t>
  </si>
  <si>
    <t>Custom3</t>
  </si>
  <si>
    <t>Custom2</t>
  </si>
  <si>
    <t>Custom5</t>
  </si>
  <si>
    <t>In case there is information that is not covered by the standard columns</t>
  </si>
  <si>
    <t>If there are data available for which no standard columns are available</t>
  </si>
  <si>
    <t>Stock Assessment database for standard graphs - upload template</t>
  </si>
  <si>
    <t xml:space="preserve">This file converts data to an XML file that can be uploaded to the Stock Assessment database. </t>
  </si>
  <si>
    <t>1) COPY YOUR DATA INTO THE EXCEL FILE tabs:</t>
  </si>
  <si>
    <r>
      <t xml:space="preserve">Remember to include the </t>
    </r>
    <r>
      <rPr>
        <b/>
        <i/>
        <sz val="11"/>
        <color theme="1"/>
        <rFont val="Calibri"/>
        <family val="2"/>
        <scheme val="minor"/>
      </rPr>
      <t>current year values for Recruitment and SSB</t>
    </r>
  </si>
  <si>
    <t>Red outlined cells do not have to be filled in - only if changes have occurred</t>
  </si>
  <si>
    <t xml:space="preserve">These data can be updated while editing if need be </t>
  </si>
  <si>
    <t xml:space="preserve">please check the far right hand side, where 'custom' columns can be filled in: </t>
  </si>
  <si>
    <r>
      <t xml:space="preserve">Use data from </t>
    </r>
    <r>
      <rPr>
        <i/>
        <sz val="11"/>
        <color theme="1"/>
        <rFont val="Calibri"/>
        <family val="2"/>
        <scheme val="minor"/>
      </rPr>
      <t>either</t>
    </r>
    <r>
      <rPr>
        <sz val="11"/>
        <color theme="1"/>
        <rFont val="Calibri"/>
        <family val="2"/>
        <scheme val="minor"/>
      </rPr>
      <t>:</t>
    </r>
  </si>
  <si>
    <t>.ypr file</t>
  </si>
  <si>
    <t>or</t>
  </si>
  <si>
    <t>.sen file</t>
  </si>
  <si>
    <t xml:space="preserve">Remember to click 'Options' - Enable macro's where these have been disabled. </t>
  </si>
  <si>
    <t>only fill in values - leave a cell empty if no reference point is defined</t>
  </si>
  <si>
    <t>Stock category</t>
  </si>
  <si>
    <t>other</t>
  </si>
  <si>
    <t>Stock code</t>
  </si>
  <si>
    <t>sd</t>
  </si>
  <si>
    <t>2*sd</t>
  </si>
  <si>
    <t>CI_lower</t>
  </si>
  <si>
    <t>CI_upper</t>
  </si>
  <si>
    <t>B/Bmsy</t>
  </si>
  <si>
    <t>F/Fmsy</t>
  </si>
  <si>
    <t>Harvest rate</t>
  </si>
  <si>
    <t>%</t>
  </si>
  <si>
    <t>Custom6</t>
  </si>
  <si>
    <t>Custom7</t>
  </si>
  <si>
    <t>Custom8</t>
  </si>
  <si>
    <t>Custom9</t>
  </si>
  <si>
    <t>Custom10</t>
  </si>
  <si>
    <t>Units</t>
  </si>
  <si>
    <t>Stock Category</t>
  </si>
  <si>
    <t>Stock category description</t>
  </si>
  <si>
    <t>Description</t>
  </si>
  <si>
    <t>Value</t>
  </si>
  <si>
    <t xml:space="preserve">Notes </t>
  </si>
  <si>
    <t>Custom Limit 1</t>
  </si>
  <si>
    <t>Stock Size Indicator</t>
  </si>
  <si>
    <t>90%</t>
  </si>
  <si>
    <t>95%</t>
  </si>
  <si>
    <t>Logbook registered discards*</t>
  </si>
  <si>
    <t>Landings BMS: below minimum size*</t>
  </si>
  <si>
    <t>Custom Limit 2</t>
  </si>
  <si>
    <t>Custom Limit 3</t>
  </si>
  <si>
    <t>Custom Limit 4</t>
  </si>
  <si>
    <t>Custom11</t>
  </si>
  <si>
    <t>Custom12</t>
  </si>
  <si>
    <t>Custom13</t>
  </si>
  <si>
    <t>Custom14</t>
  </si>
  <si>
    <t>Custom15</t>
  </si>
  <si>
    <t>Custom16</t>
  </si>
  <si>
    <t>Custom17</t>
  </si>
  <si>
    <t>Custom18</t>
  </si>
  <si>
    <t>Custom19</t>
  </si>
  <si>
    <t>Custom20</t>
  </si>
  <si>
    <t>Name</t>
  </si>
  <si>
    <t>Abundance Index</t>
  </si>
  <si>
    <t>Biomass Index</t>
  </si>
  <si>
    <t>Name/label</t>
  </si>
  <si>
    <t>Custom Limit 5</t>
  </si>
  <si>
    <t>Select Confidence Intervals</t>
  </si>
  <si>
    <t>Density Index</t>
  </si>
  <si>
    <t>Fishing Pressure</t>
  </si>
  <si>
    <t>Relative Harvest rate</t>
  </si>
  <si>
    <t xml:space="preserve">for further survey indexes use custom columns 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</si>
  <si>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the final survey index for cat 3 goes here, in the Stock Size</t>
    </r>
  </si>
  <si>
    <r>
      <rPr>
        <b/>
        <sz val="11"/>
        <color theme="1"/>
        <rFont val="Calibri"/>
        <family val="2"/>
        <scheme val="minor"/>
      </rPr>
      <t>* Landings BMS</t>
    </r>
    <r>
      <rPr>
        <sz val="11"/>
        <color theme="1"/>
        <rFont val="Calibri"/>
        <family val="2"/>
        <scheme val="minor"/>
      </rPr>
      <t xml:space="preserve"> (below minimum size): for stocks that under the EU landing obligation in 2015 +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</si>
  <si>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Select one unit for Catches/Landings/discards/ etc…</t>
    </r>
  </si>
  <si>
    <t>values</t>
  </si>
  <si>
    <t>Select units:</t>
  </si>
  <si>
    <t>Contact person</t>
  </si>
  <si>
    <t>Fill in the data + correct header name and units</t>
  </si>
  <si>
    <t>kg/trip</t>
  </si>
  <si>
    <t>Underwater TV index</t>
  </si>
  <si>
    <t>Other Stock Size descriptor</t>
  </si>
  <si>
    <t>Plan/strategy</t>
  </si>
  <si>
    <r>
      <t>B</t>
    </r>
    <r>
      <rPr>
        <vertAlign val="subscript"/>
        <sz val="11"/>
        <color theme="1"/>
        <rFont val="Times New Roman"/>
        <family val="1"/>
      </rPr>
      <t>MGT</t>
    </r>
  </si>
  <si>
    <r>
      <t>B</t>
    </r>
    <r>
      <rPr>
        <vertAlign val="subscript"/>
        <sz val="11"/>
        <color theme="1"/>
        <rFont val="Times New Roman"/>
        <family val="1"/>
      </rPr>
      <t>MGT_upper</t>
    </r>
  </si>
  <si>
    <r>
      <t>F</t>
    </r>
    <r>
      <rPr>
        <vertAlign val="subscript"/>
        <sz val="11"/>
        <color theme="1"/>
        <rFont val="Times New Roman"/>
        <family val="1"/>
      </rPr>
      <t>MGT_lower</t>
    </r>
  </si>
  <si>
    <r>
      <t>F</t>
    </r>
    <r>
      <rPr>
        <vertAlign val="subscript"/>
        <sz val="11"/>
        <color theme="1"/>
        <rFont val="Times New Roman"/>
        <family val="1"/>
      </rPr>
      <t>MGT</t>
    </r>
  </si>
  <si>
    <r>
      <t>F</t>
    </r>
    <r>
      <rPr>
        <vertAlign val="subscript"/>
        <sz val="11"/>
        <color theme="1"/>
        <rFont val="Times New Roman"/>
        <family val="1"/>
      </rPr>
      <t>MGT_upper</t>
    </r>
  </si>
  <si>
    <r>
      <t>HR</t>
    </r>
    <r>
      <rPr>
        <vertAlign val="subscript"/>
        <sz val="11"/>
        <color theme="1"/>
        <rFont val="Times New Roman"/>
        <family val="1"/>
      </rPr>
      <t>MGT</t>
    </r>
  </si>
  <si>
    <r>
      <t>MSY B</t>
    </r>
    <r>
      <rPr>
        <vertAlign val="subscript"/>
        <sz val="11"/>
        <color theme="1"/>
        <rFont val="Times New Roman"/>
        <family val="1"/>
      </rPr>
      <t>trigger</t>
    </r>
  </si>
  <si>
    <r>
      <t>F</t>
    </r>
    <r>
      <rPr>
        <vertAlign val="subscript"/>
        <sz val="11"/>
        <color theme="1"/>
        <rFont val="Times New Roman"/>
        <family val="1"/>
      </rPr>
      <t>MSY</t>
    </r>
  </si>
  <si>
    <r>
      <t>MSY B</t>
    </r>
    <r>
      <rPr>
        <vertAlign val="subscript"/>
        <sz val="11"/>
        <color theme="1"/>
        <rFont val="Times New Roman"/>
        <family val="1"/>
      </rPr>
      <t>esc</t>
    </r>
  </si>
  <si>
    <r>
      <t>F</t>
    </r>
    <r>
      <rPr>
        <vertAlign val="subscript"/>
        <sz val="11"/>
        <color theme="1"/>
        <rFont val="Times New Roman"/>
        <family val="1"/>
      </rPr>
      <t>cap</t>
    </r>
  </si>
  <si>
    <r>
      <t>B</t>
    </r>
    <r>
      <rPr>
        <vertAlign val="subscript"/>
        <sz val="11"/>
        <color theme="1"/>
        <rFont val="Times New Roman"/>
        <family val="1"/>
      </rPr>
      <t>lim</t>
    </r>
  </si>
  <si>
    <r>
      <t>B</t>
    </r>
    <r>
      <rPr>
        <vertAlign val="subscript"/>
        <sz val="11"/>
        <color theme="1"/>
        <rFont val="Times New Roman"/>
        <family val="1"/>
      </rPr>
      <t>pa</t>
    </r>
  </si>
  <si>
    <r>
      <t>F</t>
    </r>
    <r>
      <rPr>
        <vertAlign val="subscript"/>
        <sz val="11"/>
        <color theme="1"/>
        <rFont val="Times New Roman"/>
        <family val="1"/>
      </rPr>
      <t>lim</t>
    </r>
  </si>
  <si>
    <r>
      <t>F</t>
    </r>
    <r>
      <rPr>
        <vertAlign val="subscript"/>
        <sz val="11"/>
        <color theme="1"/>
        <rFont val="Times New Roman"/>
        <family val="1"/>
      </rPr>
      <t>pa</t>
    </r>
  </si>
  <si>
    <r>
      <t>B</t>
    </r>
    <r>
      <rPr>
        <vertAlign val="subscript"/>
        <sz val="11"/>
        <color theme="1"/>
        <rFont val="Times "/>
      </rPr>
      <t>MGT_lower</t>
    </r>
  </si>
  <si>
    <t>Short-lived stocks</t>
  </si>
  <si>
    <t xml:space="preserve">If this is a new stock, these data need to be filled in </t>
  </si>
  <si>
    <t>Expected range: low</t>
  </si>
  <si>
    <t>Expected range: high</t>
  </si>
  <si>
    <t>agn.27.nea</t>
  </si>
  <si>
    <t>alf.27.nea</t>
  </si>
  <si>
    <t>ank.27.8c9a</t>
  </si>
  <si>
    <t>ane.27.8</t>
  </si>
  <si>
    <t>ane.27.9a</t>
  </si>
  <si>
    <t>anf.27.1-2</t>
  </si>
  <si>
    <t>anf.27.3a46</t>
  </si>
  <si>
    <t>mon.27.8c9a</t>
  </si>
  <si>
    <t>aru.27.123a4</t>
  </si>
  <si>
    <t>aru.27.5b6a</t>
  </si>
  <si>
    <t>aru.27.5a14</t>
  </si>
  <si>
    <t>aru.27.6b7-1012</t>
  </si>
  <si>
    <t>bli.27.5a14</t>
  </si>
  <si>
    <t>bli.27.5b67</t>
  </si>
  <si>
    <t>bli.27.nea</t>
  </si>
  <si>
    <t>bll.27.22-32</t>
  </si>
  <si>
    <t>bll.27.3a47de</t>
  </si>
  <si>
    <t>boc.27.6-8</t>
  </si>
  <si>
    <t>bsf.27.nea</t>
  </si>
  <si>
    <t>bsk.27.nea</t>
  </si>
  <si>
    <t>bss.27.8ab</t>
  </si>
  <si>
    <t>bss.27.8c9a</t>
  </si>
  <si>
    <t>bss.27.6a7bj</t>
  </si>
  <si>
    <t>cap.27.1-2</t>
  </si>
  <si>
    <t>cap.27.2a514</t>
  </si>
  <si>
    <t>cod.27.22-24</t>
  </si>
  <si>
    <t>cod.27.7e-k</t>
  </si>
  <si>
    <t>cod.27.1-2</t>
  </si>
  <si>
    <t>cod.27.1-2coast</t>
  </si>
  <si>
    <t>cod.27.5b2</t>
  </si>
  <si>
    <t>cod.27.5b1</t>
  </si>
  <si>
    <t>cod.27.5a</t>
  </si>
  <si>
    <t>cod.21.1</t>
  </si>
  <si>
    <t>cod.27.7a</t>
  </si>
  <si>
    <t>cod.27.21</t>
  </si>
  <si>
    <t>cod.27.6b</t>
  </si>
  <si>
    <t>cod.27.6a</t>
  </si>
  <si>
    <t>cod.2127.1f14</t>
  </si>
  <si>
    <t>cod.21.1a-e</t>
  </si>
  <si>
    <t>cyo.27.nea</t>
  </si>
  <si>
    <t>dab.27.22-32</t>
  </si>
  <si>
    <t>dab.27.3a4</t>
  </si>
  <si>
    <t>dgs.27.nea</t>
  </si>
  <si>
    <t>ele.2737.nea</t>
  </si>
  <si>
    <t>fle.27.2223</t>
  </si>
  <si>
    <t>fle.27.2425</t>
  </si>
  <si>
    <t>fle.27.2628</t>
  </si>
  <si>
    <t>fle.27.2729-32</t>
  </si>
  <si>
    <t>fle.27.3a4</t>
  </si>
  <si>
    <t>gag.27.nea</t>
  </si>
  <si>
    <t>gfb.27.nea</t>
  </si>
  <si>
    <t>ghl.27.1-2</t>
  </si>
  <si>
    <t>ghl.27.561214</t>
  </si>
  <si>
    <t>gug.27.3a47d</t>
  </si>
  <si>
    <t>guq.27.nea</t>
  </si>
  <si>
    <t>gur.27.3-8</t>
  </si>
  <si>
    <t>had.27.46a20</t>
  </si>
  <si>
    <t>had.27.1-2</t>
  </si>
  <si>
    <t>had.27.5b</t>
  </si>
  <si>
    <t>had.27.5a</t>
  </si>
  <si>
    <t>had.27.7a</t>
  </si>
  <si>
    <t>had.27.6b</t>
  </si>
  <si>
    <t>her.27.25-2932</t>
  </si>
  <si>
    <t>her.27.20-24</t>
  </si>
  <si>
    <t>her.27.3a47d</t>
  </si>
  <si>
    <t>her.27.6a7bc</t>
  </si>
  <si>
    <t>her.27.irls</t>
  </si>
  <si>
    <t>her.27.nirs</t>
  </si>
  <si>
    <t>her.27.28</t>
  </si>
  <si>
    <t>her.27.5a</t>
  </si>
  <si>
    <t>hke.27.3a46-8abd</t>
  </si>
  <si>
    <t>hke.27.8c9a</t>
  </si>
  <si>
    <t>hom.27.3a4bc7d</t>
  </si>
  <si>
    <t>hom.27.9a</t>
  </si>
  <si>
    <t>hom.27.2a4a5b6a7a-ce-k8</t>
  </si>
  <si>
    <t>jaa.27.10a2</t>
  </si>
  <si>
    <t>lem.27.3a47d</t>
  </si>
  <si>
    <t>lin.27.1-2</t>
  </si>
  <si>
    <t>lin.27.5b</t>
  </si>
  <si>
    <t>lin.27.5a</t>
  </si>
  <si>
    <t>lin.27.3a4a6-91214</t>
  </si>
  <si>
    <t>mac.27.nea</t>
  </si>
  <si>
    <t>lez.27.4a6a</t>
  </si>
  <si>
    <t>lez.27.6b</t>
  </si>
  <si>
    <t>meg.27.7b-k8abd</t>
  </si>
  <si>
    <t>meg.27.8c9a</t>
  </si>
  <si>
    <t>mur.27.3a47d</t>
  </si>
  <si>
    <t>mur.27.67a-ce-k89a</t>
  </si>
  <si>
    <t>nep.fu.10</t>
  </si>
  <si>
    <t>nep.fu.11</t>
  </si>
  <si>
    <t>nep.fu.12</t>
  </si>
  <si>
    <t>nep.fu.13</t>
  </si>
  <si>
    <t>nep.fu.14</t>
  </si>
  <si>
    <t>nep.fu.15</t>
  </si>
  <si>
    <t>nep.fu.16</t>
  </si>
  <si>
    <t>nep.fu.17</t>
  </si>
  <si>
    <t>nep.fu.19</t>
  </si>
  <si>
    <t>nep.fu.2021</t>
  </si>
  <si>
    <t>nep.fu.22</t>
  </si>
  <si>
    <t>nep.fu.2324</t>
  </si>
  <si>
    <t>nep.fu.25</t>
  </si>
  <si>
    <t>nep.fu.2627</t>
  </si>
  <si>
    <t>nep.fu.2829</t>
  </si>
  <si>
    <t>nep.fu.30</t>
  </si>
  <si>
    <t>nep.fu.31</t>
  </si>
  <si>
    <t>nep.fu.32</t>
  </si>
  <si>
    <t>nep.fu.33</t>
  </si>
  <si>
    <t>nep.fu.34</t>
  </si>
  <si>
    <t>nep.fu.3-4</t>
  </si>
  <si>
    <t>nep.fu.5</t>
  </si>
  <si>
    <t>nep.fu.6</t>
  </si>
  <si>
    <t>nep.fu.7</t>
  </si>
  <si>
    <t>nep.fu.8</t>
  </si>
  <si>
    <t>nep.fu.9</t>
  </si>
  <si>
    <t>nop.27.3a4</t>
  </si>
  <si>
    <t>nop.27.6a</t>
  </si>
  <si>
    <t>ory.27.nea</t>
  </si>
  <si>
    <t>pra.27.1-2</t>
  </si>
  <si>
    <t>pra.27.4a</t>
  </si>
  <si>
    <t>ple.27.21-23</t>
  </si>
  <si>
    <t>ple.27.24-32</t>
  </si>
  <si>
    <t>ple.27.7bc</t>
  </si>
  <si>
    <t>ple.27.89a</t>
  </si>
  <si>
    <t>ple.27.7fg</t>
  </si>
  <si>
    <t>ple.27.7d</t>
  </si>
  <si>
    <t>ple.27.7e</t>
  </si>
  <si>
    <t>ple.27.7a</t>
  </si>
  <si>
    <t>ple.27.420</t>
  </si>
  <si>
    <t>pol.27.89a</t>
  </si>
  <si>
    <t>pol.27.67</t>
  </si>
  <si>
    <t>pol.27.3a4</t>
  </si>
  <si>
    <t>por.27.nea</t>
  </si>
  <si>
    <t>raj.27.3a47d</t>
  </si>
  <si>
    <t>raj.27.89a</t>
  </si>
  <si>
    <t>raj.27.67a-ce-h</t>
  </si>
  <si>
    <t>raj.27.1012</t>
  </si>
  <si>
    <t>rhg.27.nea</t>
  </si>
  <si>
    <t>rja.27.nea</t>
  </si>
  <si>
    <t>rjb.27.3a4</t>
  </si>
  <si>
    <t>rjb.27.89a</t>
  </si>
  <si>
    <t>rjb.27.67a-ce-k</t>
  </si>
  <si>
    <t>rjc.27.3a47d</t>
  </si>
  <si>
    <t>rjc.27.7afg</t>
  </si>
  <si>
    <t>rjc.27.8</t>
  </si>
  <si>
    <t>rjc.27.7e</t>
  </si>
  <si>
    <t>rjc.27.9a</t>
  </si>
  <si>
    <t>rjc.27.6</t>
  </si>
  <si>
    <t>rje.27.7fg</t>
  </si>
  <si>
    <t>rje.27.7de</t>
  </si>
  <si>
    <t>rjf.27.67</t>
  </si>
  <si>
    <t>rjh.27.4a6</t>
  </si>
  <si>
    <t>rjh.27.4c7d</t>
  </si>
  <si>
    <t>rjh.27.7afg</t>
  </si>
  <si>
    <t>rjh.27.7e</t>
  </si>
  <si>
    <t>rjh.27.9a</t>
  </si>
  <si>
    <t>rji.27.67</t>
  </si>
  <si>
    <t>rjm.27.3a47d</t>
  </si>
  <si>
    <t>rjm.27.67bj</t>
  </si>
  <si>
    <t>rjm.27.7ae-h</t>
  </si>
  <si>
    <t>rjm.27.8</t>
  </si>
  <si>
    <t>rjm.27.9a</t>
  </si>
  <si>
    <t>rjn.27.3a4</t>
  </si>
  <si>
    <t>rjn.27.8c</t>
  </si>
  <si>
    <t>rjn.27.9a</t>
  </si>
  <si>
    <t>rjr.27.23a4</t>
  </si>
  <si>
    <t>rju.27.7bj</t>
  </si>
  <si>
    <t>rju.27.8ab</t>
  </si>
  <si>
    <t>rju.27.8c</t>
  </si>
  <si>
    <t>rju.27.9a</t>
  </si>
  <si>
    <t>rju.27.7de</t>
  </si>
  <si>
    <t>rng.27.5a10b12ac14b</t>
  </si>
  <si>
    <t>rng.27.5b6712b</t>
  </si>
  <si>
    <t>rng.27.3a</t>
  </si>
  <si>
    <t>rng.27.1245a8914ab</t>
  </si>
  <si>
    <t>pok.27.3a46</t>
  </si>
  <si>
    <t>pok.27.1-2</t>
  </si>
  <si>
    <t>pok.27.5b</t>
  </si>
  <si>
    <t>pok.27.5a</t>
  </si>
  <si>
    <t>sal.27.22-31</t>
  </si>
  <si>
    <t>sal.27.32</t>
  </si>
  <si>
    <t>san.sa.1r</t>
  </si>
  <si>
    <t>san.sa.2r</t>
  </si>
  <si>
    <t>san.sa.3r</t>
  </si>
  <si>
    <t>san.sa.4</t>
  </si>
  <si>
    <t>san.sa.5r</t>
  </si>
  <si>
    <t>san.sa.6</t>
  </si>
  <si>
    <t>san.sa.7r</t>
  </si>
  <si>
    <t>san.27.6a</t>
  </si>
  <si>
    <t>pil.27.8c9a</t>
  </si>
  <si>
    <t>sbr.27.6-8</t>
  </si>
  <si>
    <t>sbr.27.9</t>
  </si>
  <si>
    <t>sbr.27.10</t>
  </si>
  <si>
    <t>sck.27.nea</t>
  </si>
  <si>
    <t>sho.27.89a</t>
  </si>
  <si>
    <t>sho.27.67</t>
  </si>
  <si>
    <t>reb.27.1-2</t>
  </si>
  <si>
    <t>reb.27.5a14</t>
  </si>
  <si>
    <t>reb.27.14b</t>
  </si>
  <si>
    <t>reg.27.561214</t>
  </si>
  <si>
    <t>reg.27.1-2</t>
  </si>
  <si>
    <t>sol.27.7bc</t>
  </si>
  <si>
    <t>sol.27.8c9a</t>
  </si>
  <si>
    <t>sol.27.8ab</t>
  </si>
  <si>
    <t>sol.27.7fg</t>
  </si>
  <si>
    <t>sol.27.7d</t>
  </si>
  <si>
    <t>sol.27.7e</t>
  </si>
  <si>
    <t>sol.27.7a</t>
  </si>
  <si>
    <t>sol.27.20-24</t>
  </si>
  <si>
    <t>sol.27.4</t>
  </si>
  <si>
    <t>spr.27.7de</t>
  </si>
  <si>
    <t>spr.27.3a</t>
  </si>
  <si>
    <t>spr.27.4</t>
  </si>
  <si>
    <t>syc.27.3a47d</t>
  </si>
  <si>
    <t>syc.27.8c9a</t>
  </si>
  <si>
    <t>syc.27.8abd</t>
  </si>
  <si>
    <t>syc.27.67a-ce-j</t>
  </si>
  <si>
    <t>syt.27.67</t>
  </si>
  <si>
    <t>thr.27.nea</t>
  </si>
  <si>
    <t>sdv.27.nea</t>
  </si>
  <si>
    <t>trs.27.22-32</t>
  </si>
  <si>
    <t>tsu.27.nea</t>
  </si>
  <si>
    <t>tur.27.3a</t>
  </si>
  <si>
    <t>tur.27.4</t>
  </si>
  <si>
    <t>usk.27.1-2</t>
  </si>
  <si>
    <t>usk.27.5a14</t>
  </si>
  <si>
    <t>usk.27.12ac</t>
  </si>
  <si>
    <t>usk.27.3a45b6a7-912b</t>
  </si>
  <si>
    <t>usk.27.6b</t>
  </si>
  <si>
    <t>whb.27.1-91214</t>
  </si>
  <si>
    <t>whg.27.47d</t>
  </si>
  <si>
    <t>whg.27.7b-ce-k</t>
  </si>
  <si>
    <t>whg.27.89a</t>
  </si>
  <si>
    <t>whg.27.7a</t>
  </si>
  <si>
    <t>whg.27.3a</t>
  </si>
  <si>
    <t>whg.27.6b</t>
  </si>
  <si>
    <t>whg.27.6a</t>
  </si>
  <si>
    <t>wit.27.3a47d</t>
  </si>
  <si>
    <t>Purpose</t>
  </si>
  <si>
    <t>Model Type</t>
  </si>
  <si>
    <t>Model Name</t>
  </si>
  <si>
    <t>A</t>
  </si>
  <si>
    <t>B</t>
  </si>
  <si>
    <t>Other</t>
  </si>
  <si>
    <t>AL</t>
  </si>
  <si>
    <t>ADAPT</t>
  </si>
  <si>
    <t>AMISH</t>
  </si>
  <si>
    <t>ASAP</t>
  </si>
  <si>
    <t>ASPIC</t>
  </si>
  <si>
    <t>DCAC</t>
  </si>
  <si>
    <t>MYCC</t>
  </si>
  <si>
    <t>SAM</t>
  </si>
  <si>
    <t>SS3</t>
  </si>
  <si>
    <t>TASACS</t>
  </si>
  <si>
    <t>TSA</t>
  </si>
  <si>
    <t>XSA</t>
  </si>
  <si>
    <t>XSAM</t>
  </si>
  <si>
    <t>SPiCT</t>
  </si>
  <si>
    <t>Advice</t>
  </si>
  <si>
    <t>Replaced</t>
  </si>
  <si>
    <t>Unofficial</t>
  </si>
  <si>
    <t>InitAdvice</t>
  </si>
  <si>
    <t>Bench</t>
  </si>
  <si>
    <t>Type</t>
  </si>
  <si>
    <t>StockSize</t>
  </si>
  <si>
    <t>Catch</t>
  </si>
  <si>
    <t>Effort</t>
  </si>
  <si>
    <t>(choose age or length as appropriate)</t>
  </si>
  <si>
    <t>N/km2</t>
  </si>
  <si>
    <t>N/trap</t>
  </si>
  <si>
    <t>kg/hook</t>
  </si>
  <si>
    <t>kg/km2</t>
  </si>
  <si>
    <t>kg/trap</t>
  </si>
  <si>
    <t>N/trip</t>
  </si>
  <si>
    <t>N/hook</t>
  </si>
  <si>
    <t>Harvest rate/HRmsy</t>
  </si>
  <si>
    <t>State-space Assessment Model</t>
  </si>
  <si>
    <t>Time Series Analysis</t>
  </si>
  <si>
    <t>eXtended Survivor Analysis</t>
  </si>
  <si>
    <t>Age Structured Assessment Program (NOAA Toolbox)</t>
  </si>
  <si>
    <t>A Stock Production Model Incorporating Covariates (NOAA Toolbox)</t>
  </si>
  <si>
    <t>Stock Synthesis v3</t>
  </si>
  <si>
    <t>Depletion Corrected Average Catch (NOAA Toolbox)</t>
  </si>
  <si>
    <t>Globally applicable Area Disaggregated General Ecosystem Toolbox</t>
  </si>
  <si>
    <t>Multi-Year Catch Curve analysis</t>
  </si>
  <si>
    <t>Stochastic Surplus Production Model in Continuous Time</t>
  </si>
  <si>
    <t>Toolbox for Age-structured Stock Assessment using Catch and Survey data</t>
  </si>
  <si>
    <t>SMS</t>
  </si>
  <si>
    <t>YPR</t>
  </si>
  <si>
    <t>Yield per Recruit model</t>
  </si>
  <si>
    <t>Generic Statistical Catch at Age model</t>
  </si>
  <si>
    <t>Generic Virtual Population Analysis model</t>
  </si>
  <si>
    <t>Generic State-space model</t>
  </si>
  <si>
    <t>An Adaptive framework for the estimation of population size (VPA)</t>
  </si>
  <si>
    <t>Another version of a state-space stock assessment model</t>
  </si>
  <si>
    <t>None</t>
  </si>
  <si>
    <t>No model</t>
  </si>
  <si>
    <t>AartsPoos</t>
  </si>
  <si>
    <t>GADGET</t>
  </si>
  <si>
    <t>SCA</t>
  </si>
  <si>
    <t>SPM</t>
  </si>
  <si>
    <t>StateSpace</t>
  </si>
  <si>
    <t>VPA</t>
  </si>
  <si>
    <t>http://vocab.ices.dk/?ref=1525</t>
  </si>
  <si>
    <t>http://vocab.ices.dk/?ref=362</t>
  </si>
  <si>
    <t>http://vocab.ices.dk/?ref=1516</t>
  </si>
  <si>
    <t>ank.27.78abd</t>
  </si>
  <si>
    <t>bss.27.4bc7ad-h</t>
  </si>
  <si>
    <t>cod.27.47d20</t>
  </si>
  <si>
    <t>had.27.7b-k</t>
  </si>
  <si>
    <t>her.27.1-24a514a</t>
  </si>
  <si>
    <t>ldb.27.7b-k8abd</t>
  </si>
  <si>
    <t>ldb.27.8c9a</t>
  </si>
  <si>
    <t>mon.27.78abd</t>
  </si>
  <si>
    <t>pil.27.7</t>
  </si>
  <si>
    <t>pil.27.8abd</t>
  </si>
  <si>
    <t>ple.27.7h-k</t>
  </si>
  <si>
    <t>reb.2127.dp</t>
  </si>
  <si>
    <t>reb.2127.sp</t>
  </si>
  <si>
    <t>rjn.27.678abd</t>
  </si>
  <si>
    <t>sol.27.7h-k</t>
  </si>
  <si>
    <t>spr.27.22-32</t>
  </si>
  <si>
    <t>spr.27.67a-cf-k</t>
  </si>
  <si>
    <t>tur.27.22-32</t>
  </si>
  <si>
    <t>cod.27.24-32</t>
  </si>
  <si>
    <t>http://vocab.ices.dk/?ref=1526</t>
  </si>
  <si>
    <t>Category 1. Data rich  fully accepted analytical assessment and short-term forecast</t>
  </si>
  <si>
    <t>Category 1 method with extremely low biomass with a zero catch advice</t>
  </si>
  <si>
    <t>Category 1 method with zero catch MSY advice and an advice for a 5000t scientific monitoring quota</t>
  </si>
  <si>
    <t>Category 1 method with MSY and PA advice together</t>
  </si>
  <si>
    <t>Category 1 method with advice for effort  not catch</t>
  </si>
  <si>
    <t>Category 1 method with a management plan advice  but no reference points beyond Blim</t>
  </si>
  <si>
    <t>Category 2 method with biomass &gt; MSYBtrigger</t>
  </si>
  <si>
    <t>Category 2 method with biomass &lt; MSYBtrigger</t>
  </si>
  <si>
    <t>Category 2 method with extremely low biomass with a zero catch advice</t>
  </si>
  <si>
    <t>Category 3. Biomass/abundance trends-based assessment</t>
  </si>
  <si>
    <t>Category 3 method - not in use</t>
  </si>
  <si>
    <t>Category 3 method with extremely low biomass with a zero catch advice</t>
  </si>
  <si>
    <t>Category 3 method using an abundance/biomass Index and catch data</t>
  </si>
  <si>
    <t>Category 3 method using an F reference proxy</t>
  </si>
  <si>
    <t>Category 3 method with no known/reviewed method for catch advice</t>
  </si>
  <si>
    <t>Category 4. Catch only</t>
  </si>
  <si>
    <t>Category 4 method DCAC high</t>
  </si>
  <si>
    <t>Category 4 method DCAC low</t>
  </si>
  <si>
    <t>Category 4 method using catch curves</t>
  </si>
  <si>
    <t>Category 4 method for Nephrops  data-borrowing</t>
  </si>
  <si>
    <t>Category 4 method with extremely low biomass and a zero catch advice</t>
  </si>
  <si>
    <t>Category 5. Data poor catch/landings only</t>
  </si>
  <si>
    <t>Category 5 method not in use (PSA)</t>
  </si>
  <si>
    <t>Category 5 method recent average catch</t>
  </si>
  <si>
    <t>Category 5 method with extremely low biomass and a zero catch advice</t>
  </si>
  <si>
    <t>Category 6. Data poor catch landings from bycatch stocks that are largely discarded at sea or rarely encountered</t>
  </si>
  <si>
    <t>Category 6 method not in use (PSA)</t>
  </si>
  <si>
    <t>Category 6 method recent average catch</t>
  </si>
  <si>
    <t>Category 6 method with extremely low biomass and a zero catch advice</t>
  </si>
  <si>
    <t>her.27.3031</t>
  </si>
  <si>
    <t>nep.27.4outFU</t>
  </si>
  <si>
    <t>nep.27.6aoutFU</t>
  </si>
  <si>
    <t>nep.27.7outFU</t>
  </si>
  <si>
    <t>pra.27.3a4a</t>
  </si>
  <si>
    <t>sal.21.2-5</t>
  </si>
  <si>
    <t>sal.2127.1a-f14</t>
  </si>
  <si>
    <t>sal.27.nea</t>
  </si>
  <si>
    <t>sqr.27.nea</t>
  </si>
  <si>
    <t>Select recruitment type:</t>
  </si>
  <si>
    <t>Spawning Stock Biomass</t>
  </si>
  <si>
    <t>FishingPressure</t>
  </si>
  <si>
    <t>Select stock size indicator:</t>
  </si>
  <si>
    <t>percent</t>
  </si>
  <si>
    <t>d/100hp</t>
  </si>
  <si>
    <t>Days per 100 HP</t>
  </si>
  <si>
    <t>das</t>
  </si>
  <si>
    <t>Days at sea</t>
  </si>
  <si>
    <t>dop</t>
  </si>
  <si>
    <t>Days out of port</t>
  </si>
  <si>
    <t>fd</t>
  </si>
  <si>
    <t>Fishing days</t>
  </si>
  <si>
    <t>fe</t>
  </si>
  <si>
    <t>Number of fishing events</t>
  </si>
  <si>
    <t>gd</t>
  </si>
  <si>
    <t>Gear days for fyke/trap nets</t>
  </si>
  <si>
    <t>hd</t>
  </si>
  <si>
    <t>Hook days for longlines</t>
  </si>
  <si>
    <t>hf</t>
  </si>
  <si>
    <t>Hours fished</t>
  </si>
  <si>
    <t>hph</t>
  </si>
  <si>
    <t>Horsepower-hours</t>
  </si>
  <si>
    <t>kg</t>
  </si>
  <si>
    <t>kilogram</t>
  </si>
  <si>
    <t>kg/d</t>
  </si>
  <si>
    <t>Kilograms per day</t>
  </si>
  <si>
    <t>kg/h</t>
  </si>
  <si>
    <t>Kilograms per hour</t>
  </si>
  <si>
    <t>Kilograms per hook</t>
  </si>
  <si>
    <t>kg/kWd</t>
  </si>
  <si>
    <t>Kilograms per kiloWatt day</t>
  </si>
  <si>
    <t>Kilograms per trap</t>
  </si>
  <si>
    <t>Kilograms per trip</t>
  </si>
  <si>
    <t>kWd</t>
  </si>
  <si>
    <t>KiloWatt days</t>
  </si>
  <si>
    <t>N</t>
  </si>
  <si>
    <t>N/d</t>
  </si>
  <si>
    <t>Numbers per day</t>
  </si>
  <si>
    <t>N/h</t>
  </si>
  <si>
    <t>Numbers per hour</t>
  </si>
  <si>
    <t>Numbers per hook</t>
  </si>
  <si>
    <t>Numbers per square kilometer</t>
  </si>
  <si>
    <t>N/kWd</t>
  </si>
  <si>
    <t>Numbers per kiloWatt day</t>
  </si>
  <si>
    <t>Numbers per trap</t>
  </si>
  <si>
    <t>Numbers per trip</t>
  </si>
  <si>
    <t>nd</t>
  </si>
  <si>
    <t>Net-days</t>
  </si>
  <si>
    <t>NE3</t>
  </si>
  <si>
    <t>Number of individuals in thousands (x1000)</t>
  </si>
  <si>
    <t>NE6</t>
  </si>
  <si>
    <t>Number of individuals in millions (x1000000)</t>
  </si>
  <si>
    <t>NE9</t>
  </si>
  <si>
    <t>Number of individuals in billions (x1000000000)</t>
  </si>
  <si>
    <t>nmd</t>
  </si>
  <si>
    <t>Net metre day (for GNS/GND)</t>
  </si>
  <si>
    <t>NoV</t>
  </si>
  <si>
    <t>Number of vessels</t>
  </si>
  <si>
    <t>ratio</t>
  </si>
  <si>
    <t>t</t>
  </si>
  <si>
    <t>t/h</t>
  </si>
  <si>
    <t>Tonnes per hour</t>
  </si>
  <si>
    <t>tr</t>
  </si>
  <si>
    <t>Number of trips</t>
  </si>
  <si>
    <t>traps</t>
  </si>
  <si>
    <t>Number of trap nets</t>
  </si>
  <si>
    <t>Update the red cells if reference points have changed</t>
  </si>
  <si>
    <t>Category 6 data, but catch advice not possible</t>
  </si>
  <si>
    <t>Category 5 data, but catch advice not possible</t>
  </si>
  <si>
    <t>Category 3 data, but catch advice not possible</t>
  </si>
  <si>
    <t>Category 2. Data rich, but with an assessment/forecast that is accepted for trends only</t>
  </si>
  <si>
    <t>Confidence Interval</t>
  </si>
  <si>
    <t>Assessment Model Name description</t>
  </si>
  <si>
    <t>Aarts and Poos (2009)  comprehensive discard reconstruction and abundance estimation model</t>
  </si>
  <si>
    <t>Assessment Method for the Ibero-Atlantic Stock of Horse Mackerel</t>
  </si>
  <si>
    <t>Other unnamed model</t>
  </si>
  <si>
    <t>Stochastic Multi-species Model</t>
  </si>
  <si>
    <t>Generic Biomass dynamics (Surplus production) model</t>
  </si>
  <si>
    <t>http://vocab.ices.dk/?CodeTypeRelID=155&amp;CodeID=168613</t>
  </si>
  <si>
    <t>Assessment Purpose</t>
  </si>
  <si>
    <t>Biomass model (like SPiCT)</t>
  </si>
  <si>
    <t>Other types of models (not using age or length data)</t>
  </si>
  <si>
    <t>Age based (like VPA, SCA, SAM)</t>
  </si>
  <si>
    <t>Age-length based (like GADGET, SS3)</t>
  </si>
  <si>
    <t>http://vocab.ices.dk/?ref=1524</t>
  </si>
  <si>
    <t>None, data only</t>
  </si>
  <si>
    <t>Model Type description</t>
  </si>
  <si>
    <t>http://vocab.ices.dk/?ref=1528</t>
  </si>
  <si>
    <t>Custom Data Type</t>
  </si>
  <si>
    <t>Kilogram per square kilometer</t>
  </si>
  <si>
    <t>Fishing Pressure Indicator</t>
  </si>
  <si>
    <t>Fishing pressure type</t>
  </si>
  <si>
    <t>Copy assessment data below (check the units!)</t>
  </si>
  <si>
    <t>Number of individuals</t>
  </si>
  <si>
    <t>please fill in the correct header (e.g. Recreational catch, Fishing effort, etc.)</t>
  </si>
  <si>
    <t>please choose the correct UNIT from the drop-down menu (i.e. thousands, tonnes, NA,...)</t>
  </si>
  <si>
    <t>please choose the correct TYPE from the drop-down menu (i.e. StockSize, FishingPressure, Other...)</t>
  </si>
  <si>
    <t>RecreationalCatch</t>
  </si>
  <si>
    <t>RecrPressure</t>
  </si>
  <si>
    <t>For unitless, leave blank</t>
  </si>
  <si>
    <t xml:space="preserve">Stock Size </t>
  </si>
  <si>
    <t>same as stock size indicator</t>
  </si>
  <si>
    <t>TSB/Bmsy</t>
  </si>
  <si>
    <t>UWTV_index</t>
  </si>
  <si>
    <t>A_index</t>
  </si>
  <si>
    <t>B_index</t>
  </si>
  <si>
    <t>D_index</t>
  </si>
  <si>
    <t>Biomass relative to Bmsy</t>
  </si>
  <si>
    <t>Total stock biomass relative to Bmsy</t>
  </si>
  <si>
    <t>Frel</t>
  </si>
  <si>
    <t>HR</t>
  </si>
  <si>
    <t>HR/HRmsy</t>
  </si>
  <si>
    <t>HRrel</t>
  </si>
  <si>
    <t>http://vocab.ices.dk/?ref=1530</t>
  </si>
  <si>
    <t>http://vocab.ices.dk/?ref=1529</t>
  </si>
  <si>
    <t>custom1</t>
  </si>
  <si>
    <t>custom2</t>
  </si>
  <si>
    <t>custom3</t>
  </si>
  <si>
    <t>custom4</t>
  </si>
  <si>
    <t>custom5</t>
  </si>
  <si>
    <t>Specify "Other" here</t>
  </si>
  <si>
    <t>tonnes</t>
  </si>
  <si>
    <t>na</t>
  </si>
  <si>
    <t>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</si>
</sst>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4">
    <font>
      <sz val="11"/>
      <color theme="1"/>
      <name val="Calibri"/>
      <family val="2"/>
      <scheme val="minor"/>
    </font>
    <font>
      <b/>
      <sz val="11"/>
      <color rgb="FFFFFFFF"/>
      <name val="Inherit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Times New Roman"/>
      <family val="1"/>
    </font>
    <font>
      <sz val="12"/>
      <color theme="1"/>
      <name val="Times"/>
      <family val="1"/>
    </font>
    <font>
      <b/>
      <sz val="12"/>
      <color theme="1"/>
      <name val="Times"/>
      <family val="1"/>
    </font>
    <font>
      <b/>
      <sz val="12"/>
      <color rgb="FFFFFFFF"/>
      <name val="Times"/>
      <family val="1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Times"/>
    </font>
    <font>
      <sz val="10"/>
      <name val="Courier 10 cpi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Arial Black"/>
      <family val="2"/>
    </font>
    <font>
      <b/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Times"/>
      <family val="1"/>
    </font>
    <font>
      <b/>
      <sz val="16"/>
      <color theme="1"/>
      <name val="Times"/>
    </font>
    <font>
      <sz val="8"/>
      <color rgb="FF000000"/>
      <name val="Segoe UI"/>
      <family val="2"/>
    </font>
    <font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vertAlign val="subscript"/>
      <sz val="11"/>
      <color theme="1"/>
      <name val="Times "/>
    </font>
    <font>
      <sz val="20"/>
      <color rgb="FF006100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2" tint="-0.89999084444715716"/>
      <name val="Calibri"/>
      <family val="2"/>
      <scheme val="minor"/>
    </font>
    <font>
      <i/>
      <sz val="12"/>
      <color theme="1" tint="0.499984740745262"/>
      <name val="Times"/>
    </font>
    <font>
      <sz val="12"/>
      <color rgb="FF9C65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AEC64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2F2F6"/>
        <bgColor indexed="64"/>
      </patternFill>
    </fill>
    <fill>
      <patternFill patternType="solid">
        <fgColor rgb="FFFAE8FE"/>
        <bgColor indexed="64"/>
      </patternFill>
    </fill>
    <fill>
      <patternFill patternType="solid">
        <fgColor rgb="FFF2F9EB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CF0D0"/>
        <bgColor indexed="64"/>
      </patternFill>
    </fill>
    <fill>
      <patternFill patternType="solid">
        <fgColor rgb="FFFCC5B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8FFEB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 style="thick">
        <color rgb="FF00B050"/>
      </left>
      <right/>
      <top style="thick">
        <color rgb="FF00B050"/>
      </top>
      <bottom style="thick">
        <color rgb="FF00B050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medium">
        <color rgb="FFFF0000"/>
      </top>
      <bottom style="medium">
        <color rgb="FFFF0000"/>
      </bottom>
      <diagonal/>
    </border>
    <border>
      <left style="medium">
        <color indexed="64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medium">
        <color rgb="FF00B050"/>
      </left>
      <right/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/>
      <bottom/>
      <diagonal/>
    </border>
  </borders>
  <cellStyleXfs count="6">
    <xf numFmtId="0" fontId="0" fillId="0" borderId="0"/>
    <xf numFmtId="0" fontId="8" fillId="0" borderId="0" applyNumberFormat="0" applyFill="0" applyBorder="0" applyAlignment="0" applyProtection="0"/>
    <xf numFmtId="0" fontId="13" fillId="0" borderId="0"/>
    <xf numFmtId="0" fontId="14" fillId="13" borderId="0" applyNumberFormat="0" applyBorder="0" applyAlignment="0" applyProtection="0"/>
    <xf numFmtId="0" fontId="15" fillId="14" borderId="0" applyNumberFormat="0" applyBorder="0" applyAlignment="0" applyProtection="0"/>
    <xf numFmtId="0" fontId="16" fillId="0" borderId="0" applyNumberFormat="0" applyFill="0" applyBorder="0" applyAlignment="0" applyProtection="0"/>
  </cellStyleXfs>
  <cellXfs count="204">
    <xf numFmtId="0" fontId="0" fillId="0" borderId="0" xfId="0"/>
    <xf numFmtId="0" fontId="1" fillId="2" borderId="0" xfId="0" applyFont="1" applyFill="1" applyAlignment="1">
      <alignment horizontal="left" vertical="center" wrapText="1"/>
    </xf>
    <xf numFmtId="0" fontId="0" fillId="0" borderId="0" xfId="0" applyFill="1"/>
    <xf numFmtId="0" fontId="5" fillId="0" borderId="0" xfId="0" applyFont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0" fontId="4" fillId="9" borderId="1" xfId="0" applyFont="1" applyFill="1" applyBorder="1" applyAlignment="1">
      <alignment vertical="top" wrapText="1"/>
    </xf>
    <xf numFmtId="0" fontId="4" fillId="9" borderId="2" xfId="0" applyFont="1" applyFill="1" applyBorder="1" applyAlignment="1">
      <alignment vertical="top" wrapText="1"/>
    </xf>
    <xf numFmtId="0" fontId="4" fillId="9" borderId="3" xfId="0" applyFont="1" applyFill="1" applyBorder="1" applyAlignment="1">
      <alignment vertical="top" wrapText="1"/>
    </xf>
    <xf numFmtId="0" fontId="4" fillId="9" borderId="9" xfId="0" applyFont="1" applyFill="1" applyBorder="1" applyAlignment="1">
      <alignment vertical="top" wrapText="1"/>
    </xf>
    <xf numFmtId="0" fontId="2" fillId="9" borderId="10" xfId="0" applyFont="1" applyFill="1" applyBorder="1"/>
    <xf numFmtId="0" fontId="0" fillId="9" borderId="8" xfId="0" applyFill="1" applyBorder="1" applyAlignment="1">
      <alignment horizontal="right"/>
    </xf>
    <xf numFmtId="0" fontId="0" fillId="0" borderId="0" xfId="0"/>
    <xf numFmtId="0" fontId="0" fillId="5" borderId="0" xfId="0" applyFill="1"/>
    <xf numFmtId="0" fontId="2" fillId="0" borderId="0" xfId="0" applyFont="1" applyFill="1"/>
    <xf numFmtId="0" fontId="0" fillId="3" borderId="0" xfId="0" applyFill="1" applyBorder="1"/>
    <xf numFmtId="0" fontId="0" fillId="8" borderId="12" xfId="0" applyFill="1" applyBorder="1"/>
    <xf numFmtId="0" fontId="2" fillId="5" borderId="0" xfId="0" applyFont="1" applyFill="1"/>
    <xf numFmtId="0" fontId="8" fillId="0" borderId="0" xfId="1"/>
    <xf numFmtId="0" fontId="8" fillId="5" borderId="0" xfId="1" applyFill="1"/>
    <xf numFmtId="0" fontId="0" fillId="10" borderId="13" xfId="0" applyFill="1" applyBorder="1"/>
    <xf numFmtId="0" fontId="0" fillId="10" borderId="14" xfId="0" applyFill="1" applyBorder="1"/>
    <xf numFmtId="0" fontId="0" fillId="10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10" fillId="5" borderId="0" xfId="0" applyFon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0" fontId="2" fillId="0" borderId="0" xfId="0" applyFont="1"/>
    <xf numFmtId="0" fontId="0" fillId="12" borderId="22" xfId="0" applyFill="1" applyBorder="1"/>
    <xf numFmtId="0" fontId="0" fillId="12" borderId="24" xfId="0" applyFill="1" applyBorder="1"/>
    <xf numFmtId="0" fontId="0" fillId="12" borderId="25" xfId="0" applyFill="1" applyBorder="1"/>
    <xf numFmtId="0" fontId="0" fillId="12" borderId="26" xfId="0" applyFill="1" applyBorder="1"/>
    <xf numFmtId="0" fontId="4" fillId="3" borderId="3" xfId="0" applyFont="1" applyFill="1" applyBorder="1" applyAlignment="1">
      <alignment vertical="top" wrapText="1"/>
    </xf>
    <xf numFmtId="0" fontId="7" fillId="2" borderId="19" xfId="0" applyFont="1" applyFill="1" applyBorder="1" applyAlignment="1">
      <alignment horizontal="left" vertical="center" wrapText="1"/>
    </xf>
    <xf numFmtId="0" fontId="5" fillId="0" borderId="0" xfId="0" applyFont="1" applyFill="1" applyAlignment="1">
      <alignment horizontal="center" wrapText="1"/>
    </xf>
    <xf numFmtId="0" fontId="5" fillId="0" borderId="0" xfId="0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49" fontId="5" fillId="0" borderId="0" xfId="0" applyNumberFormat="1" applyFont="1" applyAlignment="1">
      <alignment horizontal="center"/>
    </xf>
    <xf numFmtId="0" fontId="11" fillId="0" borderId="0" xfId="0" applyFont="1" applyFill="1"/>
    <xf numFmtId="0" fontId="14" fillId="13" borderId="12" xfId="3" applyBorder="1"/>
    <xf numFmtId="0" fontId="0" fillId="0" borderId="28" xfId="0" applyBorder="1" applyAlignment="1">
      <alignment horizontal="center"/>
    </xf>
    <xf numFmtId="0" fontId="4" fillId="9" borderId="4" xfId="0" applyFont="1" applyFill="1" applyBorder="1" applyAlignment="1">
      <alignment vertical="top" wrapText="1"/>
    </xf>
    <xf numFmtId="0" fontId="7" fillId="2" borderId="28" xfId="0" applyFont="1" applyFill="1" applyBorder="1" applyAlignment="1">
      <alignment horizontal="center" vertical="center" wrapText="1"/>
    </xf>
    <xf numFmtId="0" fontId="0" fillId="4" borderId="29" xfId="0" applyFill="1" applyBorder="1"/>
    <xf numFmtId="0" fontId="0" fillId="4" borderId="30" xfId="0" applyFill="1" applyBorder="1"/>
    <xf numFmtId="0" fontId="0" fillId="4" borderId="31" xfId="0" applyFill="1" applyBorder="1"/>
    <xf numFmtId="0" fontId="0" fillId="4" borderId="32" xfId="0" applyFill="1" applyBorder="1"/>
    <xf numFmtId="0" fontId="0" fillId="4" borderId="0" xfId="0" applyFill="1" applyBorder="1"/>
    <xf numFmtId="0" fontId="0" fillId="4" borderId="33" xfId="0" applyFill="1" applyBorder="1"/>
    <xf numFmtId="0" fontId="0" fillId="4" borderId="32" xfId="0" applyFill="1" applyBorder="1" applyAlignment="1">
      <alignment horizontal="center"/>
    </xf>
    <xf numFmtId="0" fontId="0" fillId="4" borderId="34" xfId="0" applyFill="1" applyBorder="1"/>
    <xf numFmtId="0" fontId="0" fillId="4" borderId="35" xfId="0" applyFill="1" applyBorder="1"/>
    <xf numFmtId="0" fontId="0" fillId="4" borderId="36" xfId="0" applyFill="1" applyBorder="1"/>
    <xf numFmtId="0" fontId="0" fillId="6" borderId="29" xfId="0" applyFill="1" applyBorder="1"/>
    <xf numFmtId="0" fontId="0" fillId="6" borderId="30" xfId="0" applyFill="1" applyBorder="1"/>
    <xf numFmtId="0" fontId="0" fillId="6" borderId="31" xfId="0" applyFill="1" applyBorder="1"/>
    <xf numFmtId="0" fontId="0" fillId="6" borderId="32" xfId="0" applyFill="1" applyBorder="1"/>
    <xf numFmtId="0" fontId="0" fillId="6" borderId="0" xfId="0" applyFill="1" applyBorder="1"/>
    <xf numFmtId="0" fontId="0" fillId="6" borderId="33" xfId="0" applyFill="1" applyBorder="1"/>
    <xf numFmtId="0" fontId="0" fillId="6" borderId="34" xfId="0" applyFill="1" applyBorder="1"/>
    <xf numFmtId="0" fontId="0" fillId="6" borderId="35" xfId="0" applyFill="1" applyBorder="1"/>
    <xf numFmtId="0" fontId="0" fillId="6" borderId="36" xfId="0" applyFill="1" applyBorder="1"/>
    <xf numFmtId="0" fontId="6" fillId="4" borderId="9" xfId="0" applyFont="1" applyFill="1" applyBorder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6" fillId="6" borderId="37" xfId="0" applyFont="1" applyFill="1" applyBorder="1" applyAlignment="1">
      <alignment horizontal="center"/>
    </xf>
    <xf numFmtId="0" fontId="5" fillId="6" borderId="37" xfId="0" applyFont="1" applyFill="1" applyBorder="1" applyAlignment="1">
      <alignment horizontal="center"/>
    </xf>
    <xf numFmtId="0" fontId="5" fillId="6" borderId="38" xfId="0" applyFont="1" applyFill="1" applyBorder="1" applyAlignment="1">
      <alignment horizontal="center"/>
    </xf>
    <xf numFmtId="0" fontId="12" fillId="7" borderId="9" xfId="0" applyFont="1" applyFill="1" applyBorder="1" applyAlignment="1">
      <alignment horizontal="center" wrapText="1"/>
    </xf>
    <xf numFmtId="0" fontId="12" fillId="7" borderId="37" xfId="0" applyFont="1" applyFill="1" applyBorder="1" applyAlignment="1">
      <alignment horizontal="center"/>
    </xf>
    <xf numFmtId="0" fontId="5" fillId="7" borderId="37" xfId="0" applyFont="1" applyFill="1" applyBorder="1" applyAlignment="1">
      <alignment horizontal="center"/>
    </xf>
    <xf numFmtId="0" fontId="5" fillId="7" borderId="38" xfId="0" applyFont="1" applyFill="1" applyBorder="1" applyAlignment="1">
      <alignment horizontal="center"/>
    </xf>
    <xf numFmtId="0" fontId="5" fillId="7" borderId="29" xfId="0" applyFont="1" applyFill="1" applyBorder="1" applyAlignment="1">
      <alignment horizontal="center" wrapText="1"/>
    </xf>
    <xf numFmtId="0" fontId="5" fillId="7" borderId="30" xfId="0" applyFont="1" applyFill="1" applyBorder="1" applyAlignment="1">
      <alignment horizontal="center"/>
    </xf>
    <xf numFmtId="0" fontId="5" fillId="7" borderId="31" xfId="0" applyFont="1" applyFill="1" applyBorder="1" applyAlignment="1">
      <alignment horizontal="center"/>
    </xf>
    <xf numFmtId="0" fontId="5" fillId="7" borderId="32" xfId="0" applyFont="1" applyFill="1" applyBorder="1" applyAlignment="1">
      <alignment horizontal="center" wrapText="1"/>
    </xf>
    <xf numFmtId="0" fontId="5" fillId="7" borderId="0" xfId="0" applyFont="1" applyFill="1" applyBorder="1" applyAlignment="1">
      <alignment horizontal="center"/>
    </xf>
    <xf numFmtId="0" fontId="5" fillId="7" borderId="33" xfId="0" applyFont="1" applyFill="1" applyBorder="1" applyAlignment="1">
      <alignment horizontal="center"/>
    </xf>
    <xf numFmtId="0" fontId="5" fillId="7" borderId="0" xfId="0" applyNumberFormat="1" applyFont="1" applyFill="1" applyBorder="1" applyAlignment="1">
      <alignment horizontal="center"/>
    </xf>
    <xf numFmtId="0" fontId="5" fillId="7" borderId="34" xfId="0" applyFont="1" applyFill="1" applyBorder="1" applyAlignment="1">
      <alignment horizontal="center" wrapText="1"/>
    </xf>
    <xf numFmtId="0" fontId="5" fillId="7" borderId="35" xfId="0" applyFont="1" applyFill="1" applyBorder="1" applyAlignment="1">
      <alignment horizontal="center"/>
    </xf>
    <xf numFmtId="0" fontId="5" fillId="7" borderId="36" xfId="0" applyFont="1" applyFill="1" applyBorder="1" applyAlignment="1">
      <alignment horizontal="center"/>
    </xf>
    <xf numFmtId="0" fontId="0" fillId="3" borderId="23" xfId="0" applyFill="1" applyBorder="1"/>
    <xf numFmtId="0" fontId="0" fillId="3" borderId="24" xfId="0" applyFill="1" applyBorder="1"/>
    <xf numFmtId="0" fontId="3" fillId="9" borderId="4" xfId="0" applyFont="1" applyFill="1" applyBorder="1"/>
    <xf numFmtId="0" fontId="2" fillId="9" borderId="0" xfId="0" applyFont="1" applyFill="1" applyBorder="1"/>
    <xf numFmtId="0" fontId="0" fillId="3" borderId="27" xfId="0" applyFill="1" applyBorder="1"/>
    <xf numFmtId="0" fontId="2" fillId="3" borderId="0" xfId="0" applyFont="1" applyFill="1" applyBorder="1"/>
    <xf numFmtId="0" fontId="3" fillId="9" borderId="0" xfId="0" applyFont="1" applyFill="1" applyBorder="1"/>
    <xf numFmtId="0" fontId="0" fillId="3" borderId="4" xfId="0" applyFill="1" applyBorder="1"/>
    <xf numFmtId="0" fontId="4" fillId="9" borderId="39" xfId="0" applyFont="1" applyFill="1" applyBorder="1" applyAlignment="1">
      <alignment vertical="top" wrapText="1"/>
    </xf>
    <xf numFmtId="0" fontId="4" fillId="9" borderId="40" xfId="0" applyFont="1" applyFill="1" applyBorder="1" applyAlignment="1">
      <alignment vertical="top" wrapText="1"/>
    </xf>
    <xf numFmtId="0" fontId="0" fillId="3" borderId="6" xfId="0" applyFill="1" applyBorder="1"/>
    <xf numFmtId="0" fontId="0" fillId="3" borderId="26" xfId="0" applyFill="1" applyBorder="1"/>
    <xf numFmtId="0" fontId="17" fillId="0" borderId="0" xfId="0" applyFont="1" applyFill="1" applyBorder="1"/>
    <xf numFmtId="16" fontId="2" fillId="0" borderId="0" xfId="0" applyNumberFormat="1" applyFont="1"/>
    <xf numFmtId="0" fontId="3" fillId="0" borderId="0" xfId="0" applyFont="1" applyFill="1"/>
    <xf numFmtId="0" fontId="2" fillId="8" borderId="12" xfId="0" applyFont="1" applyFill="1" applyBorder="1"/>
    <xf numFmtId="0" fontId="0" fillId="12" borderId="42" xfId="0" applyFill="1" applyBorder="1"/>
    <xf numFmtId="0" fontId="0" fillId="12" borderId="5" xfId="0" applyFill="1" applyBorder="1"/>
    <xf numFmtId="0" fontId="0" fillId="12" borderId="43" xfId="0" applyFill="1" applyBorder="1"/>
    <xf numFmtId="0" fontId="0" fillId="9" borderId="44" xfId="0" applyFill="1" applyBorder="1" applyAlignment="1">
      <alignment horizontal="right"/>
    </xf>
    <xf numFmtId="0" fontId="0" fillId="9" borderId="45" xfId="0" applyFill="1" applyBorder="1" applyAlignment="1">
      <alignment horizontal="right"/>
    </xf>
    <xf numFmtId="0" fontId="5" fillId="5" borderId="0" xfId="0" applyFont="1" applyFill="1" applyAlignment="1">
      <alignment horizontal="center"/>
    </xf>
    <xf numFmtId="0" fontId="18" fillId="13" borderId="46" xfId="3" applyFont="1" applyBorder="1"/>
    <xf numFmtId="0" fontId="5" fillId="5" borderId="0" xfId="0" applyFont="1" applyFill="1" applyBorder="1" applyAlignment="1">
      <alignment horizontal="center"/>
    </xf>
    <xf numFmtId="0" fontId="0" fillId="12" borderId="8" xfId="0" applyFill="1" applyBorder="1" applyAlignment="1">
      <alignment horizontal="right"/>
    </xf>
    <xf numFmtId="49" fontId="0" fillId="12" borderId="41" xfId="0" applyNumberFormat="1" applyFill="1" applyBorder="1" applyAlignment="1">
      <alignment horizontal="right"/>
    </xf>
    <xf numFmtId="0" fontId="0" fillId="12" borderId="41" xfId="0" applyFill="1" applyBorder="1" applyAlignment="1">
      <alignment horizontal="right"/>
    </xf>
    <xf numFmtId="0" fontId="0" fillId="12" borderId="12" xfId="0" applyFill="1" applyBorder="1"/>
    <xf numFmtId="0" fontId="0" fillId="12" borderId="11" xfId="0" applyFill="1" applyBorder="1"/>
    <xf numFmtId="0" fontId="6" fillId="5" borderId="32" xfId="0" applyFont="1" applyFill="1" applyBorder="1" applyAlignment="1">
      <alignment horizontal="center"/>
    </xf>
    <xf numFmtId="0" fontId="0" fillId="15" borderId="0" xfId="0" applyFill="1"/>
    <xf numFmtId="0" fontId="20" fillId="6" borderId="37" xfId="0" applyFont="1" applyFill="1" applyBorder="1" applyAlignment="1">
      <alignment horizontal="center"/>
    </xf>
    <xf numFmtId="0" fontId="20" fillId="4" borderId="37" xfId="0" applyFont="1" applyFill="1" applyBorder="1" applyAlignment="1">
      <alignment horizontal="center"/>
    </xf>
    <xf numFmtId="0" fontId="21" fillId="7" borderId="37" xfId="0" applyFont="1" applyFill="1" applyBorder="1" applyAlignment="1">
      <alignment horizontal="center" vertical="top"/>
    </xf>
    <xf numFmtId="0" fontId="19" fillId="16" borderId="48" xfId="0" applyFont="1" applyFill="1" applyBorder="1"/>
    <xf numFmtId="0" fontId="12" fillId="7" borderId="9" xfId="0" applyFont="1" applyFill="1" applyBorder="1" applyAlignment="1">
      <alignment horizontal="right" wrapText="1"/>
    </xf>
    <xf numFmtId="0" fontId="0" fillId="12" borderId="1" xfId="0" applyFill="1" applyBorder="1"/>
    <xf numFmtId="0" fontId="0" fillId="12" borderId="2" xfId="0" applyFill="1" applyBorder="1"/>
    <xf numFmtId="0" fontId="0" fillId="12" borderId="19" xfId="0" applyFill="1" applyBorder="1"/>
    <xf numFmtId="0" fontId="2" fillId="12" borderId="42" xfId="0" applyFont="1" applyFill="1" applyBorder="1"/>
    <xf numFmtId="0" fontId="14" fillId="13" borderId="20" xfId="3" applyBorder="1"/>
    <xf numFmtId="0" fontId="14" fillId="13" borderId="21" xfId="3" applyBorder="1"/>
    <xf numFmtId="0" fontId="0" fillId="0" borderId="0" xfId="0" applyFill="1" applyBorder="1"/>
    <xf numFmtId="0" fontId="20" fillId="4" borderId="31" xfId="0" applyFont="1" applyFill="1" applyBorder="1" applyAlignment="1">
      <alignment horizontal="center"/>
    </xf>
    <xf numFmtId="0" fontId="4" fillId="3" borderId="1" xfId="0" applyFont="1" applyFill="1" applyBorder="1" applyAlignment="1">
      <alignment vertical="top" wrapText="1"/>
    </xf>
    <xf numFmtId="0" fontId="23" fillId="17" borderId="19" xfId="0" applyFont="1" applyFill="1" applyBorder="1" applyAlignment="1">
      <alignment vertical="top" wrapText="1"/>
    </xf>
    <xf numFmtId="0" fontId="23" fillId="17" borderId="7" xfId="0" applyFont="1" applyFill="1" applyBorder="1" applyAlignment="1">
      <alignment vertical="top" wrapText="1"/>
    </xf>
    <xf numFmtId="0" fontId="26" fillId="14" borderId="0" xfId="4" applyFont="1"/>
    <xf numFmtId="0" fontId="3" fillId="9" borderId="22" xfId="0" applyFont="1" applyFill="1" applyBorder="1"/>
    <xf numFmtId="0" fontId="23" fillId="17" borderId="49" xfId="0" applyFont="1" applyFill="1" applyBorder="1" applyAlignment="1">
      <alignment vertical="top" wrapText="1"/>
    </xf>
    <xf numFmtId="0" fontId="0" fillId="9" borderId="50" xfId="0" applyFill="1" applyBorder="1" applyAlignment="1">
      <alignment horizontal="right"/>
    </xf>
    <xf numFmtId="0" fontId="27" fillId="3" borderId="8" xfId="0" applyFont="1" applyFill="1" applyBorder="1"/>
    <xf numFmtId="0" fontId="27" fillId="3" borderId="51" xfId="0" applyFont="1" applyFill="1" applyBorder="1"/>
    <xf numFmtId="0" fontId="28" fillId="9" borderId="4" xfId="0" applyFont="1" applyFill="1" applyBorder="1"/>
    <xf numFmtId="0" fontId="29" fillId="3" borderId="0" xfId="0" applyFont="1" applyFill="1" applyBorder="1"/>
    <xf numFmtId="0" fontId="19" fillId="16" borderId="52" xfId="0" applyFont="1" applyFill="1" applyBorder="1"/>
    <xf numFmtId="0" fontId="0" fillId="0" borderId="53" xfId="0" applyFont="1" applyBorder="1"/>
    <xf numFmtId="0" fontId="0" fillId="0" borderId="52" xfId="0" applyFont="1" applyBorder="1"/>
    <xf numFmtId="0" fontId="0" fillId="18" borderId="53" xfId="0" applyFont="1" applyFill="1" applyBorder="1"/>
    <xf numFmtId="0" fontId="0" fillId="18" borderId="52" xfId="0" applyFont="1" applyFill="1" applyBorder="1"/>
    <xf numFmtId="0" fontId="8" fillId="12" borderId="11" xfId="1" applyFill="1" applyBorder="1"/>
    <xf numFmtId="0" fontId="0" fillId="0" borderId="0" xfId="0" applyFont="1" applyFill="1" applyBorder="1"/>
    <xf numFmtId="49" fontId="0" fillId="0" borderId="53" xfId="0" applyNumberFormat="1" applyFont="1" applyBorder="1"/>
    <xf numFmtId="49" fontId="0" fillId="18" borderId="53" xfId="0" applyNumberFormat="1" applyFont="1" applyFill="1" applyBorder="1"/>
    <xf numFmtId="49" fontId="0" fillId="19" borderId="53" xfId="0" applyNumberFormat="1" applyFont="1" applyFill="1" applyBorder="1"/>
    <xf numFmtId="49" fontId="0" fillId="0" borderId="53" xfId="0" applyNumberFormat="1" applyFont="1" applyFill="1" applyBorder="1"/>
    <xf numFmtId="49" fontId="0" fillId="0" borderId="0" xfId="0" applyNumberFormat="1"/>
    <xf numFmtId="2" fontId="8" fillId="0" borderId="0" xfId="1" applyNumberFormat="1" applyAlignment="1">
      <alignment horizontal="left"/>
    </xf>
    <xf numFmtId="0" fontId="19" fillId="16" borderId="52" xfId="0" applyFont="1" applyFill="1" applyBorder="1" applyAlignment="1">
      <alignment horizontal="left"/>
    </xf>
    <xf numFmtId="0" fontId="0" fillId="0" borderId="53" xfId="0" applyFont="1" applyBorder="1" applyAlignment="1">
      <alignment horizontal="left"/>
    </xf>
    <xf numFmtId="0" fontId="0" fillId="18" borderId="53" xfId="0" applyFont="1" applyFill="1" applyBorder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52" xfId="0" applyFont="1" applyBorder="1" applyAlignment="1">
      <alignment horizontal="left"/>
    </xf>
    <xf numFmtId="0" fontId="0" fillId="18" borderId="52" xfId="0" applyFont="1" applyFill="1" applyBorder="1" applyAlignment="1">
      <alignment horizontal="left"/>
    </xf>
    <xf numFmtId="0" fontId="31" fillId="20" borderId="19" xfId="3" applyFont="1" applyFill="1" applyBorder="1" applyAlignment="1">
      <alignment vertical="top" wrapText="1"/>
    </xf>
    <xf numFmtId="0" fontId="14" fillId="20" borderId="11" xfId="3" applyFill="1" applyBorder="1" applyAlignment="1">
      <alignment vertical="top" wrapText="1"/>
    </xf>
    <xf numFmtId="0" fontId="14" fillId="20" borderId="46" xfId="3" applyFill="1" applyBorder="1"/>
    <xf numFmtId="0" fontId="0" fillId="12" borderId="11" xfId="0" applyFill="1" applyBorder="1" applyAlignment="1">
      <alignment horizontal="left"/>
    </xf>
    <xf numFmtId="0" fontId="32" fillId="7" borderId="37" xfId="0" applyFont="1" applyFill="1" applyBorder="1" applyAlignment="1">
      <alignment horizontal="left"/>
    </xf>
    <xf numFmtId="0" fontId="0" fillId="21" borderId="29" xfId="0" applyFill="1" applyBorder="1"/>
    <xf numFmtId="0" fontId="0" fillId="21" borderId="30" xfId="0" applyFill="1" applyBorder="1"/>
    <xf numFmtId="0" fontId="0" fillId="21" borderId="31" xfId="0" applyFill="1" applyBorder="1"/>
    <xf numFmtId="0" fontId="0" fillId="21" borderId="32" xfId="0" applyFill="1" applyBorder="1"/>
    <xf numFmtId="0" fontId="0" fillId="21" borderId="0" xfId="0" applyFill="1" applyBorder="1"/>
    <xf numFmtId="0" fontId="0" fillId="21" borderId="33" xfId="0" applyFill="1" applyBorder="1"/>
    <xf numFmtId="0" fontId="0" fillId="21" borderId="34" xfId="0" applyFill="1" applyBorder="1"/>
    <xf numFmtId="0" fontId="0" fillId="21" borderId="35" xfId="0" applyFill="1" applyBorder="1"/>
    <xf numFmtId="0" fontId="0" fillId="21" borderId="36" xfId="0" applyFill="1" applyBorder="1"/>
    <xf numFmtId="0" fontId="6" fillId="21" borderId="39" xfId="0" applyFont="1" applyFill="1" applyBorder="1" applyAlignment="1">
      <alignment horizontal="right"/>
    </xf>
    <xf numFmtId="0" fontId="14" fillId="20" borderId="11" xfId="3" applyFill="1" applyBorder="1" applyAlignment="1">
      <alignment vertical="center" wrapText="1"/>
    </xf>
    <xf numFmtId="0" fontId="14" fillId="20" borderId="11" xfId="3" applyFill="1" applyBorder="1" applyAlignment="1">
      <alignment horizontal="left" vertical="center" wrapText="1"/>
    </xf>
    <xf numFmtId="0" fontId="33" fillId="20" borderId="11" xfId="3" applyFont="1" applyFill="1" applyBorder="1" applyAlignment="1">
      <alignment vertical="top" wrapText="1"/>
    </xf>
    <xf numFmtId="0" fontId="27" fillId="3" borderId="8" xfId="0" applyFont="1" applyFill="1" applyBorder="1"/>
    <xf numFmtId="9" fontId="16" fillId="12" borderId="19" xfId="5" applyNumberFormat="1" applyFill="1" applyBorder="1"/>
    <xf numFmtId="0" fontId="0" fillId="18" borderId="55" xfId="0" applyFont="1" applyFill="1" applyBorder="1"/>
    <xf numFmtId="0" fontId="6" fillId="6" borderId="9" xfId="0" applyFont="1" applyFill="1" applyBorder="1" applyAlignment="1">
      <alignment horizontal="center"/>
    </xf>
    <xf numFmtId="0" fontId="6" fillId="6" borderId="37" xfId="0" applyFont="1" applyFill="1" applyBorder="1" applyAlignment="1">
      <alignment horizontal="center"/>
    </xf>
    <xf numFmtId="0" fontId="6" fillId="6" borderId="39" xfId="0" applyFont="1" applyFill="1" applyBorder="1" applyAlignment="1">
      <alignment horizontal="right"/>
    </xf>
    <xf numFmtId="0" fontId="6" fillId="6" borderId="37" xfId="0" applyFont="1" applyFill="1" applyBorder="1" applyAlignment="1">
      <alignment horizontal="right"/>
    </xf>
    <xf numFmtId="0" fontId="6" fillId="6" borderId="38" xfId="0" applyFont="1" applyFill="1" applyBorder="1" applyAlignment="1">
      <alignment horizontal="right"/>
    </xf>
    <xf numFmtId="0" fontId="6" fillId="21" borderId="9" xfId="0" applyFont="1" applyFill="1" applyBorder="1" applyAlignment="1">
      <alignment horizontal="right" vertical="center"/>
    </xf>
    <xf numFmtId="0" fontId="6" fillId="21" borderId="38" xfId="0" applyFont="1" applyFill="1" applyBorder="1" applyAlignment="1">
      <alignment horizontal="right" vertical="center"/>
    </xf>
    <xf numFmtId="0" fontId="6" fillId="21" borderId="9" xfId="0" applyFont="1" applyFill="1" applyBorder="1" applyAlignment="1">
      <alignment horizontal="right"/>
    </xf>
    <xf numFmtId="0" fontId="6" fillId="21" borderId="38" xfId="0" applyFont="1" applyFill="1" applyBorder="1" applyAlignment="1">
      <alignment horizontal="right"/>
    </xf>
    <xf numFmtId="0" fontId="14" fillId="13" borderId="42" xfId="3" applyBorder="1" applyAlignment="1">
      <alignment horizontal="center" vertical="top" wrapText="1"/>
    </xf>
    <xf numFmtId="0" fontId="14" fillId="13" borderId="43" xfId="3" applyBorder="1" applyAlignment="1">
      <alignment horizontal="center" vertical="top" wrapText="1"/>
    </xf>
    <xf numFmtId="0" fontId="0" fillId="8" borderId="12" xfId="0" applyFill="1" applyBorder="1" applyAlignment="1">
      <alignment horizontal="left"/>
    </xf>
    <xf numFmtId="0" fontId="0" fillId="8" borderId="20" xfId="0" applyFill="1" applyBorder="1" applyAlignment="1">
      <alignment horizontal="left"/>
    </xf>
    <xf numFmtId="0" fontId="0" fillId="8" borderId="21" xfId="0" applyFill="1" applyBorder="1" applyAlignment="1">
      <alignment horizontal="left"/>
    </xf>
    <xf numFmtId="0" fontId="6" fillId="4" borderId="29" xfId="0" applyFont="1" applyFill="1" applyBorder="1" applyAlignment="1">
      <alignment horizontal="right" vertical="center"/>
    </xf>
    <xf numFmtId="0" fontId="6" fillId="4" borderId="30" xfId="0" applyFont="1" applyFill="1" applyBorder="1" applyAlignment="1">
      <alignment horizontal="right" vertical="center"/>
    </xf>
    <xf numFmtId="0" fontId="6" fillId="4" borderId="34" xfId="0" applyFont="1" applyFill="1" applyBorder="1" applyAlignment="1">
      <alignment horizontal="right"/>
    </xf>
    <xf numFmtId="0" fontId="6" fillId="4" borderId="47" xfId="0" applyFont="1" applyFill="1" applyBorder="1" applyAlignment="1">
      <alignment horizontal="right"/>
    </xf>
    <xf numFmtId="0" fontId="6" fillId="21" borderId="54" xfId="0" applyFont="1" applyFill="1" applyBorder="1" applyAlignment="1">
      <alignment horizontal="center" vertical="center"/>
    </xf>
    <xf numFmtId="0" fontId="6" fillId="21" borderId="37" xfId="0" applyFont="1" applyFill="1" applyBorder="1" applyAlignment="1">
      <alignment horizontal="center" vertical="center"/>
    </xf>
    <xf numFmtId="0" fontId="6" fillId="21" borderId="38" xfId="0" applyFont="1" applyFill="1" applyBorder="1" applyAlignment="1">
      <alignment horizontal="center" vertical="center"/>
    </xf>
    <xf numFmtId="0" fontId="20" fillId="21" borderId="29" xfId="0" applyFont="1" applyFill="1" applyBorder="1" applyAlignment="1">
      <alignment horizontal="center"/>
    </xf>
    <xf numFmtId="0" fontId="20" fillId="21" borderId="30" xfId="0" applyFont="1" applyFill="1" applyBorder="1" applyAlignment="1">
      <alignment horizontal="center"/>
    </xf>
    <xf numFmtId="0" fontId="20" fillId="21" borderId="31" xfId="0" applyFont="1" applyFill="1" applyBorder="1" applyAlignment="1">
      <alignment horizontal="center"/>
    </xf>
    <xf numFmtId="0" fontId="6" fillId="21" borderId="37" xfId="0" applyFont="1" applyFill="1" applyBorder="1" applyAlignment="1">
      <alignment horizontal="center"/>
    </xf>
    <xf numFmtId="0" fontId="6" fillId="21" borderId="38" xfId="0" applyFont="1" applyFill="1" applyBorder="1" applyAlignment="1">
      <alignment horizontal="center"/>
    </xf>
  </cellXfs>
  <cellStyles count="6">
    <cellStyle name="Explanatory Text" xfId="5" builtinId="53"/>
    <cellStyle name="Good" xfId="4" builtinId="26"/>
    <cellStyle name="Hyperlink" xfId="1" builtinId="8"/>
    <cellStyle name="Neutral" xfId="3" builtinId="28"/>
    <cellStyle name="Normal" xfId="0" builtinId="0"/>
    <cellStyle name="Normal 3" xfId="2"/>
  </cellStyles>
  <dxfs count="0"/>
  <tableStyles count="0" defaultTableStyle="TableStyleMedium2" defaultPivotStyle="PivotStyleLight16"/>
  <colors>
    <mruColors>
      <color rgb="FFF8FFEB"/>
      <color rgb="FFF7FFE7"/>
      <color rgb="FFEEFFCD"/>
      <color rgb="FFFFFFC9"/>
      <color rgb="FFE8E8E8"/>
      <color rgb="FFFFF5D5"/>
      <color rgb="FFFAE8FE"/>
      <color rgb="FFFFD5D5"/>
      <color rgb="FFF2F2F2"/>
      <color rgb="FFF2F9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5</xdr:row>
          <xdr:rowOff>123825</xdr:rowOff>
        </xdr:from>
        <xdr:to>
          <xdr:col>8</xdr:col>
          <xdr:colOff>85725</xdr:colOff>
          <xdr:row>8</xdr:row>
          <xdr:rowOff>123825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ExportData to Standard Graphs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8</xdr:row>
          <xdr:rowOff>57150</xdr:rowOff>
        </xdr:from>
        <xdr:to>
          <xdr:col>4</xdr:col>
          <xdr:colOff>1323975</xdr:colOff>
          <xdr:row>10</xdr:row>
          <xdr:rowOff>47625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the same reference points as last year</a:t>
              </a:r>
            </a:p>
          </xdr:txBody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vocab.ices.dk/?ref=357" TargetMode="External"/><Relationship Id="rId1" Type="http://schemas.openxmlformats.org/officeDocument/2006/relationships/hyperlink" Target="http://standardgraphs.ices.dk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vocab.ices.dk/?ref=1528" TargetMode="External"/><Relationship Id="rId3" Type="http://schemas.openxmlformats.org/officeDocument/2006/relationships/hyperlink" Target="http://vocab.ices.dk/?ref=362" TargetMode="External"/><Relationship Id="rId7" Type="http://schemas.openxmlformats.org/officeDocument/2006/relationships/hyperlink" Target="http://vocab.ices.dk/?ref=1524" TargetMode="External"/><Relationship Id="rId2" Type="http://schemas.openxmlformats.org/officeDocument/2006/relationships/hyperlink" Target="http://vocab.ices.dk/?ref=357" TargetMode="External"/><Relationship Id="rId1" Type="http://schemas.openxmlformats.org/officeDocument/2006/relationships/hyperlink" Target="http://vocab.ices.dk/?ref=1525" TargetMode="External"/><Relationship Id="rId6" Type="http://schemas.openxmlformats.org/officeDocument/2006/relationships/hyperlink" Target="http://vocab.ices.dk/?CodeTypeRelID=155&amp;CodeID=168613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http://vocab.ices.dk/?ref=1526" TargetMode="External"/><Relationship Id="rId10" Type="http://schemas.openxmlformats.org/officeDocument/2006/relationships/hyperlink" Target="http://vocab.ices.dk/?ref=1529" TargetMode="External"/><Relationship Id="rId4" Type="http://schemas.openxmlformats.org/officeDocument/2006/relationships/hyperlink" Target="http://vocab.ices.dk/?ref=1516" TargetMode="External"/><Relationship Id="rId9" Type="http://schemas.openxmlformats.org/officeDocument/2006/relationships/hyperlink" Target="http://vocab.ices.dk/?ref=153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Q54"/>
  <sheetViews>
    <sheetView tabSelected="1" zoomScaleNormal="100" workbookViewId="0">
      <selection activeCell="I2" sqref="I2"/>
    </sheetView>
  </sheetViews>
  <sheetFormatPr defaultRowHeight="15"/>
  <cols>
    <col min="9" max="9" width="9.5703125" bestFit="1" customWidth="1"/>
  </cols>
  <sheetData>
    <row r="1" spans="1:17" ht="26.25">
      <c r="A1" s="16" t="s">
        <v>47</v>
      </c>
      <c r="B1" s="12"/>
      <c r="C1" s="12"/>
      <c r="D1" s="12"/>
      <c r="E1" s="12"/>
      <c r="F1" s="12"/>
      <c r="G1" s="12"/>
      <c r="H1" s="12"/>
      <c r="I1" s="129">
        <v>2019</v>
      </c>
      <c r="J1" s="12"/>
      <c r="K1" s="12"/>
      <c r="L1" s="12"/>
      <c r="M1" s="12"/>
      <c r="N1" s="12"/>
      <c r="O1" s="11"/>
      <c r="P1" s="11"/>
      <c r="Q1" s="11"/>
    </row>
    <row r="2" spans="1:17">
      <c r="A2" s="11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1"/>
      <c r="P2" s="11"/>
      <c r="Q2" s="11"/>
    </row>
    <row r="3" spans="1:17">
      <c r="A3" s="12" t="s">
        <v>48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1"/>
      <c r="P3" s="11"/>
      <c r="Q3" s="11"/>
    </row>
    <row r="4" spans="1:17" s="11" customForma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</row>
    <row r="5" spans="1:17" s="11" customFormat="1">
      <c r="A5" s="12" t="s">
        <v>49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</row>
    <row r="6" spans="1:17" s="11" customFormat="1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</row>
    <row r="7" spans="1:17">
      <c r="A7" s="12"/>
      <c r="B7" s="16" t="s">
        <v>25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1"/>
      <c r="P7" s="11"/>
      <c r="Q7" s="11"/>
    </row>
    <row r="8" spans="1:17">
      <c r="A8" s="12"/>
      <c r="B8" s="12" t="s">
        <v>29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1"/>
      <c r="P8" s="11"/>
      <c r="Q8" s="11"/>
    </row>
    <row r="9" spans="1:17" ht="15.75" thickBot="1">
      <c r="A9" s="12"/>
      <c r="B9" s="12" t="s">
        <v>50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1"/>
      <c r="P9" s="11"/>
      <c r="Q9" s="11"/>
    </row>
    <row r="10" spans="1:17" ht="16.5" thickTop="1" thickBot="1">
      <c r="A10" s="12"/>
      <c r="B10" s="19" t="s">
        <v>30</v>
      </c>
      <c r="C10" s="20"/>
      <c r="D10" s="20"/>
      <c r="E10" s="20"/>
      <c r="F10" s="20"/>
      <c r="G10" s="20"/>
      <c r="H10" s="21"/>
      <c r="I10" s="12"/>
      <c r="J10" s="12"/>
      <c r="K10" s="12"/>
      <c r="L10" s="12"/>
      <c r="M10" s="12"/>
      <c r="N10" s="12"/>
      <c r="O10" s="11"/>
      <c r="P10" s="11"/>
      <c r="Q10" s="11"/>
    </row>
    <row r="11" spans="1:17" s="11" customFormat="1" ht="16.5" thickTop="1" thickBot="1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</row>
    <row r="12" spans="1:17" s="11" customFormat="1" ht="16.5" thickTop="1" thickBot="1">
      <c r="A12" s="12"/>
      <c r="B12" s="22" t="s">
        <v>51</v>
      </c>
      <c r="C12" s="23"/>
      <c r="D12" s="23"/>
      <c r="E12" s="23"/>
      <c r="F12" s="23"/>
      <c r="G12" s="23"/>
      <c r="H12" s="24"/>
      <c r="I12" s="12" t="s">
        <v>52</v>
      </c>
      <c r="J12" s="12"/>
      <c r="K12" s="12"/>
      <c r="L12" s="12"/>
      <c r="M12" s="12"/>
      <c r="N12" s="12"/>
    </row>
    <row r="13" spans="1:17" ht="15.75" thickTop="1">
      <c r="A13" s="12"/>
      <c r="B13" s="11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1"/>
      <c r="P13" s="11"/>
      <c r="Q13" s="11"/>
    </row>
    <row r="14" spans="1:17" s="11" customFormat="1">
      <c r="A14" s="12"/>
      <c r="B14" s="12" t="s">
        <v>46</v>
      </c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</row>
    <row r="15" spans="1:17">
      <c r="A15" s="12"/>
      <c r="B15" s="12" t="s">
        <v>53</v>
      </c>
      <c r="C15" s="12"/>
      <c r="D15" s="12"/>
      <c r="E15" s="12"/>
      <c r="F15" s="12"/>
      <c r="G15" s="12"/>
      <c r="H15" s="12"/>
      <c r="I15" s="12" t="s">
        <v>117</v>
      </c>
      <c r="J15" s="12"/>
      <c r="K15" s="12"/>
      <c r="L15" s="12"/>
      <c r="M15" s="12"/>
      <c r="N15" s="12"/>
      <c r="O15" s="11"/>
      <c r="P15" s="11"/>
      <c r="Q15" s="11"/>
    </row>
    <row r="16" spans="1:17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1"/>
      <c r="P16" s="11"/>
      <c r="Q16" s="11"/>
    </row>
    <row r="17" spans="1:17" s="11" customFormat="1">
      <c r="A17" s="12"/>
      <c r="B17" s="16" t="s">
        <v>26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</row>
    <row r="18" spans="1:17">
      <c r="A18" s="12"/>
      <c r="B18" s="12" t="s">
        <v>27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1"/>
      <c r="P18" s="11"/>
      <c r="Q18" s="11"/>
    </row>
    <row r="19" spans="1:17">
      <c r="A19" s="12"/>
      <c r="B19" s="12" t="s">
        <v>54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1"/>
      <c r="P19" s="11"/>
      <c r="Q19" s="11"/>
    </row>
    <row r="20" spans="1:17">
      <c r="A20" s="12"/>
      <c r="B20" s="12"/>
      <c r="C20" s="16" t="s">
        <v>55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1"/>
      <c r="P20" s="11"/>
      <c r="Q20" s="11"/>
    </row>
    <row r="21" spans="1:17">
      <c r="A21" s="12"/>
      <c r="B21" s="12"/>
      <c r="C21" s="12" t="s">
        <v>28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1"/>
      <c r="P21" s="11"/>
      <c r="Q21" s="11"/>
    </row>
    <row r="22" spans="1:17">
      <c r="A22" s="12"/>
      <c r="B22" s="25" t="s">
        <v>56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1"/>
      <c r="P22" s="11"/>
      <c r="Q22" s="11"/>
    </row>
    <row r="23" spans="1:17" s="11" customFormat="1">
      <c r="A23" s="12"/>
      <c r="B23" s="12"/>
      <c r="C23" s="16" t="s">
        <v>57</v>
      </c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</row>
    <row r="24" spans="1:17">
      <c r="A24" s="12"/>
      <c r="B24" s="12"/>
      <c r="C24" s="12" t="s">
        <v>35</v>
      </c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1"/>
      <c r="P24" s="11"/>
      <c r="Q24" s="11"/>
    </row>
    <row r="25" spans="1:17">
      <c r="A25" s="12"/>
      <c r="B25" s="12"/>
      <c r="C25" s="12" t="s">
        <v>36</v>
      </c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1"/>
      <c r="P25" s="11"/>
      <c r="Q25" s="11"/>
    </row>
    <row r="26" spans="1:17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1"/>
      <c r="P26" s="11"/>
      <c r="Q26" s="11"/>
    </row>
    <row r="27" spans="1:17">
      <c r="A27" s="12" t="s">
        <v>37</v>
      </c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1"/>
      <c r="P27" s="11"/>
      <c r="Q27" s="11"/>
    </row>
    <row r="28" spans="1:17">
      <c r="A28" s="12" t="s">
        <v>58</v>
      </c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1"/>
      <c r="P28" s="11"/>
      <c r="Q28" s="11"/>
    </row>
    <row r="29" spans="1:17">
      <c r="A29" s="12" t="s">
        <v>38</v>
      </c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1"/>
      <c r="P29" s="11"/>
      <c r="Q29" s="11"/>
    </row>
    <row r="30" spans="1:17" ht="13.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1"/>
      <c r="P30" s="11"/>
      <c r="Q30" s="11"/>
    </row>
    <row r="31" spans="1:17">
      <c r="A31" s="12" t="s">
        <v>39</v>
      </c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1"/>
      <c r="P31" s="11"/>
      <c r="Q31" s="11"/>
    </row>
    <row r="32" spans="1:17">
      <c r="A32" s="17" t="s">
        <v>31</v>
      </c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1"/>
      <c r="P32" s="11"/>
      <c r="Q32" s="11"/>
    </row>
    <row r="33" spans="1:17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1"/>
      <c r="P33" s="11"/>
      <c r="Q33" s="11"/>
    </row>
    <row r="34" spans="1:17">
      <c r="A34" s="12" t="s">
        <v>33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1"/>
      <c r="P34" s="11"/>
      <c r="Q34" s="11"/>
    </row>
    <row r="35" spans="1:17">
      <c r="A35" s="18" t="s">
        <v>32</v>
      </c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1"/>
      <c r="P35" s="11"/>
      <c r="Q35" s="11"/>
    </row>
    <row r="36" spans="1:17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1"/>
      <c r="P36" s="11"/>
      <c r="Q36" s="11"/>
    </row>
    <row r="37" spans="1:17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1"/>
      <c r="P37" s="11"/>
      <c r="Q37" s="11"/>
    </row>
    <row r="38" spans="1:17">
      <c r="A38" s="12" t="s">
        <v>34</v>
      </c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1"/>
      <c r="P38" s="11"/>
      <c r="Q38" s="11"/>
    </row>
    <row r="39" spans="1:17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1"/>
      <c r="P39" s="11"/>
      <c r="Q39" s="11"/>
    </row>
    <row r="40" spans="1:17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1"/>
      <c r="P40" s="11"/>
      <c r="Q40" s="11"/>
    </row>
    <row r="41" spans="1:17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1"/>
      <c r="P41" s="11"/>
      <c r="Q41" s="11"/>
    </row>
    <row r="42" spans="1:17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1"/>
      <c r="P42" s="11"/>
      <c r="Q42" s="11"/>
    </row>
    <row r="43" spans="1:17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1"/>
      <c r="P43" s="11"/>
      <c r="Q43" s="11"/>
    </row>
    <row r="44" spans="1:17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1"/>
      <c r="P44" s="11"/>
      <c r="Q44" s="11"/>
    </row>
    <row r="45" spans="1:17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1"/>
      <c r="P45" s="11"/>
      <c r="Q45" s="11"/>
    </row>
    <row r="46" spans="1:17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1"/>
      <c r="P46" s="11"/>
      <c r="Q46" s="11"/>
    </row>
    <row r="47" spans="1:17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1"/>
      <c r="P47" s="11"/>
      <c r="Q47" s="11"/>
    </row>
    <row r="48" spans="1:17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1"/>
      <c r="P48" s="11"/>
      <c r="Q48" s="11"/>
    </row>
    <row r="49" spans="1:17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1"/>
      <c r="P49" s="11"/>
      <c r="Q49" s="11"/>
    </row>
    <row r="50" spans="1:17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1"/>
      <c r="P50" s="11"/>
      <c r="Q50" s="11"/>
    </row>
    <row r="51" spans="1:17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1"/>
      <c r="P51" s="11"/>
      <c r="Q51" s="11"/>
    </row>
    <row r="52" spans="1:17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</row>
    <row r="53" spans="1:17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</row>
    <row r="54" spans="1:17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</row>
  </sheetData>
  <hyperlinks>
    <hyperlink ref="A32" r:id="rId1"/>
    <hyperlink ref="A35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T91"/>
  <sheetViews>
    <sheetView zoomScale="80" zoomScaleNormal="80" workbookViewId="0">
      <selection activeCell="A2" sqref="A2"/>
    </sheetView>
  </sheetViews>
  <sheetFormatPr defaultColWidth="88.140625" defaultRowHeight="15"/>
  <cols>
    <col min="1" max="1" width="38.5703125" style="2" customWidth="1"/>
    <col min="2" max="5" width="20.7109375" style="2" customWidth="1"/>
    <col min="6" max="6" width="27" style="2" customWidth="1"/>
    <col min="7" max="7" width="20.7109375" style="2" customWidth="1"/>
    <col min="8" max="8" width="20.85546875" style="2" customWidth="1"/>
    <col min="9" max="17" width="20.7109375" style="2" customWidth="1"/>
    <col min="18" max="18" width="20.7109375" style="27" customWidth="1"/>
    <col min="19" max="24" width="20.7109375" style="2" customWidth="1"/>
    <col min="25" max="25" width="9.7109375" style="2" customWidth="1"/>
    <col min="26" max="46" width="10.7109375" style="2" customWidth="1"/>
    <col min="47" max="16384" width="88.140625" style="2"/>
  </cols>
  <sheetData>
    <row r="1" spans="1:26" customFormat="1" ht="15.75" thickBot="1">
      <c r="A1" s="1" t="s">
        <v>0</v>
      </c>
      <c r="B1" s="1" t="s">
        <v>1</v>
      </c>
      <c r="C1" s="1" t="s">
        <v>379</v>
      </c>
      <c r="D1" s="1" t="s">
        <v>116</v>
      </c>
      <c r="E1" s="2"/>
      <c r="F1" s="2"/>
      <c r="G1" s="2"/>
      <c r="H1" s="2"/>
      <c r="I1" s="2"/>
      <c r="J1" s="2"/>
      <c r="K1" s="2"/>
      <c r="L1" s="2"/>
      <c r="M1" s="2"/>
      <c r="O1" s="11"/>
      <c r="R1" s="26"/>
      <c r="Z1" s="11"/>
    </row>
    <row r="2" spans="1:26" customFormat="1" ht="15.75" thickBot="1">
      <c r="A2" s="109"/>
      <c r="B2" s="160"/>
      <c r="C2" s="110"/>
      <c r="D2" s="142"/>
      <c r="E2" s="2"/>
      <c r="F2" s="2"/>
      <c r="G2" s="2"/>
      <c r="H2" s="2"/>
      <c r="I2" s="2"/>
      <c r="J2" s="2"/>
      <c r="K2" s="2"/>
      <c r="L2" s="2"/>
      <c r="M2" s="2"/>
      <c r="O2" s="11"/>
      <c r="R2" s="26"/>
      <c r="Z2" s="11"/>
    </row>
    <row r="3" spans="1:26" s="11" customFormat="1" ht="15.75" thickBot="1">
      <c r="A3" s="1" t="s">
        <v>60</v>
      </c>
      <c r="B3" s="1" t="s">
        <v>378</v>
      </c>
      <c r="C3" s="1" t="s">
        <v>380</v>
      </c>
      <c r="D3" s="2"/>
      <c r="E3" s="2"/>
      <c r="F3" s="2"/>
      <c r="G3" s="2"/>
      <c r="H3" s="2"/>
      <c r="I3" s="2"/>
      <c r="J3" s="2"/>
      <c r="K3" s="2"/>
      <c r="L3" s="2"/>
      <c r="M3" s="2"/>
      <c r="R3" s="26"/>
    </row>
    <row r="4" spans="1:26" s="11" customFormat="1" ht="15.75" thickBot="1">
      <c r="A4" s="110"/>
      <c r="B4" s="110"/>
      <c r="C4" s="110"/>
      <c r="D4" s="2"/>
      <c r="E4" s="2"/>
      <c r="F4" s="2"/>
      <c r="G4" s="2"/>
      <c r="H4" s="2"/>
      <c r="I4" s="2"/>
      <c r="J4" s="2"/>
      <c r="K4" s="2"/>
      <c r="L4" s="2"/>
      <c r="M4" s="2"/>
      <c r="R4" s="26"/>
    </row>
    <row r="5" spans="1:26" s="11" customFormat="1" ht="15.75" thickBot="1">
      <c r="C5" s="2"/>
      <c r="D5" s="2"/>
      <c r="E5" s="2"/>
      <c r="F5" s="2"/>
      <c r="G5" s="2"/>
      <c r="H5" s="2"/>
      <c r="I5" s="2"/>
      <c r="J5" s="2"/>
      <c r="K5" s="2"/>
      <c r="L5" s="2"/>
      <c r="M5" s="2"/>
      <c r="R5" s="26"/>
    </row>
    <row r="6" spans="1:26">
      <c r="A6" s="82" t="s">
        <v>571</v>
      </c>
      <c r="B6" s="82"/>
      <c r="C6" s="82"/>
      <c r="D6" s="82" t="s">
        <v>138</v>
      </c>
      <c r="E6" s="82"/>
      <c r="F6" s="83"/>
    </row>
    <row r="7" spans="1:26">
      <c r="A7" s="84"/>
      <c r="B7" s="85"/>
      <c r="C7" s="85"/>
      <c r="D7" s="14" t="s">
        <v>59</v>
      </c>
      <c r="E7" s="14"/>
      <c r="F7" s="86"/>
    </row>
    <row r="8" spans="1:26" ht="15.75" thickBot="1">
      <c r="A8" s="84" t="s">
        <v>23</v>
      </c>
      <c r="B8" s="85" t="s">
        <v>79</v>
      </c>
      <c r="C8" s="85" t="s">
        <v>80</v>
      </c>
      <c r="D8" s="14" t="s">
        <v>24</v>
      </c>
      <c r="E8" s="14"/>
      <c r="F8" s="86"/>
    </row>
    <row r="9" spans="1:26" ht="17.25" thickBot="1">
      <c r="A9" s="126" t="s">
        <v>18</v>
      </c>
      <c r="B9" s="131" t="s">
        <v>128</v>
      </c>
      <c r="C9" s="102"/>
      <c r="D9" s="14"/>
      <c r="E9" s="14"/>
      <c r="F9" s="86"/>
    </row>
    <row r="10" spans="1:26" ht="19.5" thickBot="1">
      <c r="A10" s="33" t="s">
        <v>19</v>
      </c>
      <c r="B10" s="128" t="s">
        <v>129</v>
      </c>
      <c r="C10" s="102"/>
      <c r="D10" s="136"/>
      <c r="E10" s="14"/>
      <c r="F10" s="86"/>
    </row>
    <row r="11" spans="1:26" ht="17.25" thickBot="1">
      <c r="A11" s="5" t="s">
        <v>20</v>
      </c>
      <c r="B11" s="128" t="s">
        <v>132</v>
      </c>
      <c r="C11" s="102"/>
      <c r="D11" s="14"/>
      <c r="E11" s="14"/>
      <c r="F11" s="86"/>
    </row>
    <row r="12" spans="1:26" ht="17.25" thickBot="1">
      <c r="A12" s="7"/>
      <c r="B12" s="128" t="s">
        <v>133</v>
      </c>
      <c r="C12" s="102"/>
      <c r="D12" s="14"/>
      <c r="E12" s="14"/>
      <c r="F12" s="86"/>
    </row>
    <row r="13" spans="1:26" ht="17.25" thickBot="1">
      <c r="A13" s="7"/>
      <c r="B13" s="128" t="s">
        <v>134</v>
      </c>
      <c r="C13" s="102"/>
      <c r="D13" s="14"/>
      <c r="E13" s="14"/>
      <c r="F13" s="86"/>
    </row>
    <row r="14" spans="1:26" ht="17.25" thickBot="1">
      <c r="A14" s="6"/>
      <c r="B14" s="128" t="s">
        <v>135</v>
      </c>
      <c r="C14" s="102"/>
      <c r="D14" s="14"/>
      <c r="E14" s="14"/>
      <c r="F14" s="86"/>
    </row>
    <row r="15" spans="1:26" ht="17.25" thickBot="1">
      <c r="A15" s="5" t="s">
        <v>17</v>
      </c>
      <c r="B15" s="127" t="s">
        <v>136</v>
      </c>
      <c r="C15" s="102"/>
      <c r="D15" s="14" t="s">
        <v>139</v>
      </c>
      <c r="E15" s="14" t="s">
        <v>140</v>
      </c>
      <c r="F15" s="86"/>
    </row>
    <row r="16" spans="1:26" ht="17.25" thickBot="1">
      <c r="A16" s="7" t="s">
        <v>121</v>
      </c>
      <c r="B16" s="127" t="s">
        <v>122</v>
      </c>
      <c r="C16" s="132"/>
      <c r="D16" s="133"/>
      <c r="E16" s="134"/>
      <c r="F16" s="86"/>
    </row>
    <row r="17" spans="1:6" ht="17.25" thickBot="1">
      <c r="A17" s="7"/>
      <c r="B17" s="127" t="s">
        <v>123</v>
      </c>
      <c r="C17" s="102"/>
      <c r="D17" s="14"/>
      <c r="E17" s="14"/>
      <c r="F17" s="86"/>
    </row>
    <row r="18" spans="1:6" ht="17.25" thickBot="1">
      <c r="A18" s="7"/>
      <c r="B18" s="128" t="s">
        <v>124</v>
      </c>
      <c r="C18" s="102"/>
      <c r="D18" s="14" t="s">
        <v>139</v>
      </c>
      <c r="E18" s="14" t="s">
        <v>140</v>
      </c>
      <c r="F18" s="86"/>
    </row>
    <row r="19" spans="1:6" ht="17.25" thickBot="1">
      <c r="A19" s="7"/>
      <c r="B19" s="128" t="s">
        <v>125</v>
      </c>
      <c r="C19" s="102"/>
      <c r="D19" s="133"/>
      <c r="E19" s="134"/>
      <c r="F19" s="86"/>
    </row>
    <row r="20" spans="1:6" ht="17.25" thickBot="1">
      <c r="A20" s="7"/>
      <c r="B20" s="128" t="s">
        <v>126</v>
      </c>
      <c r="C20" s="102"/>
      <c r="D20" s="14"/>
      <c r="E20" s="14"/>
      <c r="F20" s="86"/>
    </row>
    <row r="21" spans="1:6" ht="17.25" thickBot="1">
      <c r="A21" s="7"/>
      <c r="B21" s="128" t="s">
        <v>127</v>
      </c>
      <c r="C21" s="102"/>
      <c r="D21" s="14"/>
      <c r="E21" s="14"/>
      <c r="F21" s="86"/>
    </row>
    <row r="22" spans="1:6" ht="17.25" thickBot="1">
      <c r="A22" s="126" t="s">
        <v>137</v>
      </c>
      <c r="B22" s="128" t="s">
        <v>130</v>
      </c>
      <c r="C22" s="102"/>
      <c r="D22" s="14"/>
      <c r="E22" s="14"/>
      <c r="F22" s="86"/>
    </row>
    <row r="23" spans="1:6" ht="17.25" thickBot="1">
      <c r="A23" s="33"/>
      <c r="B23" s="128" t="s">
        <v>131</v>
      </c>
      <c r="C23" s="102"/>
      <c r="D23" s="14"/>
      <c r="E23" s="14"/>
      <c r="F23" s="86"/>
    </row>
    <row r="24" spans="1:6">
      <c r="A24" s="130"/>
      <c r="B24" s="88"/>
      <c r="C24" s="88"/>
      <c r="D24" s="88"/>
      <c r="E24" s="14"/>
      <c r="F24" s="86"/>
    </row>
    <row r="25" spans="1:6" ht="15.75" thickBot="1">
      <c r="A25" s="42"/>
      <c r="B25" s="85" t="s">
        <v>104</v>
      </c>
      <c r="C25" s="85" t="s">
        <v>80</v>
      </c>
      <c r="D25" s="87" t="s">
        <v>81</v>
      </c>
      <c r="E25" s="14"/>
      <c r="F25" s="86"/>
    </row>
    <row r="26" spans="1:6" ht="16.5" thickBot="1">
      <c r="A26" s="34" t="s">
        <v>82</v>
      </c>
      <c r="B26" s="175" t="s">
        <v>620</v>
      </c>
      <c r="C26" s="101"/>
      <c r="D26" s="187"/>
      <c r="E26" s="188"/>
      <c r="F26" s="86"/>
    </row>
    <row r="27" spans="1:6" ht="16.5" thickBot="1">
      <c r="A27" s="34" t="s">
        <v>88</v>
      </c>
      <c r="B27" s="175" t="s">
        <v>621</v>
      </c>
      <c r="C27" s="10"/>
      <c r="D27" s="187"/>
      <c r="E27" s="188"/>
      <c r="F27" s="86"/>
    </row>
    <row r="28" spans="1:6" ht="16.5" thickBot="1">
      <c r="A28" s="34" t="s">
        <v>89</v>
      </c>
      <c r="B28" s="175" t="s">
        <v>622</v>
      </c>
      <c r="C28" s="10"/>
      <c r="D28" s="187"/>
      <c r="E28" s="188"/>
      <c r="F28" s="86"/>
    </row>
    <row r="29" spans="1:6" ht="16.5" thickBot="1">
      <c r="A29" s="34" t="s">
        <v>90</v>
      </c>
      <c r="B29" s="175" t="s">
        <v>623</v>
      </c>
      <c r="C29" s="10"/>
      <c r="D29" s="187"/>
      <c r="E29" s="188"/>
      <c r="F29" s="86"/>
    </row>
    <row r="30" spans="1:6" ht="16.5" thickBot="1">
      <c r="A30" s="34" t="s">
        <v>105</v>
      </c>
      <c r="B30" s="175" t="s">
        <v>624</v>
      </c>
      <c r="C30" s="10"/>
      <c r="D30" s="187"/>
      <c r="E30" s="188"/>
      <c r="F30" s="86"/>
    </row>
    <row r="31" spans="1:6">
      <c r="A31" s="89"/>
      <c r="B31" s="14"/>
      <c r="C31" s="14"/>
      <c r="D31" s="14"/>
      <c r="E31" s="14"/>
      <c r="F31" s="86"/>
    </row>
    <row r="32" spans="1:6" ht="15.75" thickBot="1">
      <c r="A32" s="135" t="s">
        <v>407</v>
      </c>
      <c r="B32" s="9" t="s">
        <v>15</v>
      </c>
      <c r="C32" s="9" t="s">
        <v>22</v>
      </c>
      <c r="D32" s="14"/>
      <c r="E32" s="14"/>
      <c r="F32" s="86"/>
    </row>
    <row r="33" spans="1:46" ht="18.600000000000001" customHeight="1" thickBot="1">
      <c r="A33" s="90" t="s">
        <v>21</v>
      </c>
      <c r="B33" s="106"/>
      <c r="C33" s="106"/>
      <c r="D33" s="14"/>
      <c r="E33" s="14"/>
      <c r="F33" s="86"/>
      <c r="AA33" s="124"/>
    </row>
    <row r="34" spans="1:46" ht="15.75" thickBot="1">
      <c r="A34" s="91" t="s">
        <v>10</v>
      </c>
      <c r="B34" s="107"/>
      <c r="C34" s="108"/>
      <c r="D34" s="92"/>
      <c r="E34" s="92"/>
      <c r="F34" s="93"/>
    </row>
    <row r="35" spans="1:46" ht="15.75" thickBot="1"/>
    <row r="36" spans="1:46" ht="15.75" thickBot="1">
      <c r="A36" s="8" t="s">
        <v>106</v>
      </c>
      <c r="B36" s="157"/>
      <c r="C36" s="176" t="s">
        <v>625</v>
      </c>
    </row>
    <row r="37" spans="1:46" ht="15.75" thickBot="1"/>
    <row r="38" spans="1:46" ht="19.5" thickBot="1">
      <c r="A38" s="94" t="s">
        <v>597</v>
      </c>
      <c r="B38" s="95"/>
      <c r="C38" s="28"/>
      <c r="D38" s="96"/>
      <c r="E38" s="39"/>
      <c r="F38" s="39"/>
      <c r="AA38" s="121" t="s">
        <v>45</v>
      </c>
      <c r="AB38" s="99"/>
      <c r="AC38" s="99"/>
      <c r="AD38" s="99"/>
      <c r="AE38" s="99"/>
      <c r="AF38" s="100"/>
    </row>
    <row r="39" spans="1:46" ht="16.5" thickBot="1">
      <c r="A39" s="3"/>
      <c r="B39" s="3"/>
      <c r="C39" s="3"/>
      <c r="D39" s="3"/>
      <c r="E39" s="3"/>
      <c r="F39" s="3"/>
      <c r="R39" s="2"/>
    </row>
    <row r="40" spans="1:46" ht="15.75" thickBot="1">
      <c r="H40" s="29" t="s">
        <v>111</v>
      </c>
      <c r="I40" s="30"/>
      <c r="J40" s="118"/>
      <c r="L40" s="120" t="s">
        <v>112</v>
      </c>
      <c r="M40" s="99"/>
      <c r="N40" s="99"/>
      <c r="O40" s="100"/>
      <c r="AA40" s="189" t="s">
        <v>599</v>
      </c>
      <c r="AB40" s="190"/>
      <c r="AC40" s="190"/>
      <c r="AD40" s="190"/>
      <c r="AE40" s="190"/>
      <c r="AF40" s="190"/>
      <c r="AG40" s="190"/>
      <c r="AH40" s="190"/>
      <c r="AI40" s="190"/>
      <c r="AJ40" s="191"/>
    </row>
    <row r="41" spans="1:46" ht="15.75" thickBot="1">
      <c r="H41" s="31" t="s">
        <v>110</v>
      </c>
      <c r="I41" s="32"/>
      <c r="J41" s="119"/>
      <c r="AA41" s="40" t="s">
        <v>601</v>
      </c>
      <c r="AB41" s="40"/>
      <c r="AC41" s="40"/>
      <c r="AD41" s="40"/>
      <c r="AE41" s="40"/>
      <c r="AF41" s="122"/>
      <c r="AG41" s="122"/>
      <c r="AH41" s="122"/>
      <c r="AI41" s="122"/>
      <c r="AJ41" s="123"/>
    </row>
    <row r="42" spans="1:46" customFormat="1" ht="15.75" thickBot="1">
      <c r="A42" s="2"/>
      <c r="B42" s="2"/>
      <c r="C42" s="2"/>
      <c r="D42" s="2"/>
      <c r="E42" s="2"/>
      <c r="F42" s="2"/>
      <c r="I42" s="2"/>
      <c r="K42" s="2"/>
      <c r="L42" s="98" t="s">
        <v>113</v>
      </c>
      <c r="M42" s="100"/>
      <c r="N42" s="120"/>
      <c r="O42" s="2"/>
      <c r="P42" s="2"/>
      <c r="R42" s="27"/>
      <c r="S42" s="2"/>
      <c r="T42" s="2"/>
      <c r="U42" s="2"/>
      <c r="V42" s="2"/>
      <c r="W42" s="2"/>
      <c r="X42" s="2"/>
      <c r="Z42" s="11"/>
      <c r="AA42" s="40" t="s">
        <v>600</v>
      </c>
      <c r="AB42" s="40"/>
      <c r="AC42" s="40"/>
      <c r="AD42" s="40"/>
      <c r="AE42" s="40"/>
      <c r="AF42" s="122"/>
      <c r="AG42" s="122"/>
      <c r="AH42" s="122"/>
      <c r="AI42" s="122"/>
      <c r="AJ42" s="123"/>
    </row>
    <row r="43" spans="1:46" s="3" customFormat="1" ht="15.75">
      <c r="T43" s="2"/>
      <c r="U43" s="2"/>
      <c r="V43" s="2"/>
      <c r="W43" s="2"/>
      <c r="X43" s="2"/>
    </row>
    <row r="44" spans="1:46" s="3" customFormat="1" ht="21" thickBot="1">
      <c r="B44" s="63"/>
      <c r="C44" s="114" t="s">
        <v>3</v>
      </c>
      <c r="D44" s="125"/>
      <c r="E44" s="199" t="s">
        <v>605</v>
      </c>
      <c r="F44" s="200"/>
      <c r="G44" s="200"/>
      <c r="H44" s="200"/>
      <c r="I44" s="200"/>
      <c r="J44" s="201"/>
      <c r="K44" s="64"/>
      <c r="L44" s="65"/>
      <c r="M44" s="65"/>
      <c r="N44" s="113" t="s">
        <v>6</v>
      </c>
      <c r="O44" s="65"/>
      <c r="P44" s="66"/>
      <c r="Q44" s="67"/>
      <c r="R44" s="68"/>
      <c r="S44" s="115" t="s">
        <v>108</v>
      </c>
      <c r="T44" s="69"/>
      <c r="U44" s="70"/>
      <c r="V44" s="70"/>
      <c r="W44" s="70"/>
      <c r="X44" s="71"/>
      <c r="AA44" s="4" t="s">
        <v>40</v>
      </c>
      <c r="AB44" s="4" t="s">
        <v>43</v>
      </c>
      <c r="AC44" s="4" t="s">
        <v>42</v>
      </c>
      <c r="AD44" s="4" t="s">
        <v>41</v>
      </c>
      <c r="AE44" s="4" t="s">
        <v>44</v>
      </c>
      <c r="AF44" s="4" t="s">
        <v>71</v>
      </c>
      <c r="AG44" s="4" t="s">
        <v>72</v>
      </c>
      <c r="AH44" s="4" t="s">
        <v>73</v>
      </c>
      <c r="AI44" s="4" t="s">
        <v>74</v>
      </c>
      <c r="AJ44" s="4" t="s">
        <v>75</v>
      </c>
      <c r="AK44" s="4" t="s">
        <v>91</v>
      </c>
      <c r="AL44" s="4" t="s">
        <v>92</v>
      </c>
      <c r="AM44" s="4" t="s">
        <v>93</v>
      </c>
      <c r="AN44" s="4" t="s">
        <v>94</v>
      </c>
      <c r="AO44" s="4" t="s">
        <v>95</v>
      </c>
      <c r="AP44" s="4" t="s">
        <v>96</v>
      </c>
      <c r="AQ44" s="4" t="s">
        <v>97</v>
      </c>
      <c r="AR44" s="4" t="s">
        <v>98</v>
      </c>
      <c r="AS44" s="4" t="s">
        <v>99</v>
      </c>
      <c r="AT44" s="4" t="s">
        <v>100</v>
      </c>
    </row>
    <row r="45" spans="1:46" s="3" customFormat="1" ht="32.25" thickBot="1">
      <c r="B45" s="192" t="s">
        <v>504</v>
      </c>
      <c r="C45" s="193"/>
      <c r="D45" s="172" t="s">
        <v>3</v>
      </c>
      <c r="E45" s="196" t="s">
        <v>16</v>
      </c>
      <c r="F45" s="197"/>
      <c r="G45" s="198"/>
      <c r="H45" s="183" t="s">
        <v>507</v>
      </c>
      <c r="I45" s="184"/>
      <c r="J45" s="173" t="s">
        <v>505</v>
      </c>
      <c r="K45" s="64"/>
      <c r="L45" s="65"/>
      <c r="M45" s="65"/>
      <c r="N45" s="65"/>
      <c r="O45" s="65"/>
      <c r="P45" s="66"/>
      <c r="Q45" s="67"/>
      <c r="R45" s="117" t="s">
        <v>596</v>
      </c>
      <c r="S45" s="174" t="s">
        <v>10</v>
      </c>
      <c r="T45" s="70"/>
      <c r="U45" s="70"/>
      <c r="V45" s="70"/>
      <c r="W45" s="70"/>
      <c r="X45" s="71"/>
      <c r="Z45" s="97" t="s">
        <v>101</v>
      </c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</row>
    <row r="46" spans="1:46" s="103" customFormat="1" ht="16.5" thickBot="1">
      <c r="B46" s="194" t="s">
        <v>115</v>
      </c>
      <c r="C46" s="195"/>
      <c r="D46" s="158"/>
      <c r="E46" s="171" t="s">
        <v>115</v>
      </c>
      <c r="F46" s="202" t="s">
        <v>606</v>
      </c>
      <c r="G46" s="203"/>
      <c r="H46" s="185" t="s">
        <v>115</v>
      </c>
      <c r="I46" s="186"/>
      <c r="J46" s="158" t="s">
        <v>626</v>
      </c>
      <c r="K46" s="180" t="s">
        <v>115</v>
      </c>
      <c r="L46" s="181"/>
      <c r="M46" s="182"/>
      <c r="N46" s="158" t="s">
        <v>626</v>
      </c>
      <c r="O46" s="178"/>
      <c r="P46" s="179"/>
      <c r="Q46" s="179"/>
      <c r="R46" s="117" t="s">
        <v>115</v>
      </c>
      <c r="S46" s="158"/>
      <c r="T46" s="161" t="s">
        <v>604</v>
      </c>
      <c r="U46" s="70"/>
      <c r="V46" s="70"/>
      <c r="W46" s="70"/>
      <c r="X46" s="71"/>
      <c r="Z46" s="104" t="s">
        <v>403</v>
      </c>
      <c r="AA46" s="159"/>
      <c r="AB46" s="159"/>
      <c r="AC46" s="159"/>
      <c r="AD46" s="159"/>
      <c r="AE46" s="159"/>
      <c r="AF46" s="159"/>
      <c r="AG46" s="159"/>
      <c r="AH46" s="159"/>
      <c r="AI46" s="159"/>
      <c r="AJ46" s="159"/>
      <c r="AK46" s="159"/>
      <c r="AL46" s="159"/>
      <c r="AM46" s="159"/>
      <c r="AN46" s="159"/>
      <c r="AO46" s="159"/>
      <c r="AP46" s="159"/>
      <c r="AQ46" s="159"/>
      <c r="AR46" s="159"/>
      <c r="AS46" s="159"/>
      <c r="AT46" s="159"/>
    </row>
    <row r="47" spans="1:46" s="105" customFormat="1" ht="16.5" thickBot="1">
      <c r="B47" s="111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11"/>
      <c r="Y47" s="3"/>
      <c r="Z47" s="104" t="s">
        <v>76</v>
      </c>
      <c r="AA47" s="159"/>
      <c r="AB47" s="159"/>
      <c r="AC47" s="159"/>
      <c r="AD47" s="159"/>
      <c r="AE47" s="159"/>
      <c r="AF47" s="159"/>
      <c r="AG47" s="159"/>
      <c r="AH47" s="159"/>
      <c r="AI47" s="159"/>
      <c r="AJ47" s="159"/>
      <c r="AK47" s="159"/>
      <c r="AL47" s="159"/>
      <c r="AM47" s="159"/>
      <c r="AN47" s="159"/>
      <c r="AO47" s="159"/>
      <c r="AP47" s="159"/>
      <c r="AQ47" s="159"/>
      <c r="AR47" s="159"/>
      <c r="AS47" s="159"/>
      <c r="AT47" s="159"/>
    </row>
    <row r="48" spans="1:46" s="38" customFormat="1" ht="47.25">
      <c r="A48" s="43" t="s">
        <v>2</v>
      </c>
      <c r="B48" s="43" t="s">
        <v>65</v>
      </c>
      <c r="C48" s="43" t="s">
        <v>114</v>
      </c>
      <c r="D48" s="43" t="s">
        <v>66</v>
      </c>
      <c r="E48" s="43" t="s">
        <v>65</v>
      </c>
      <c r="F48" s="43" t="s">
        <v>114</v>
      </c>
      <c r="G48" s="43" t="s">
        <v>66</v>
      </c>
      <c r="H48" s="43" t="s">
        <v>65</v>
      </c>
      <c r="I48" s="43" t="s">
        <v>114</v>
      </c>
      <c r="J48" s="43" t="s">
        <v>66</v>
      </c>
      <c r="K48" s="43" t="s">
        <v>6</v>
      </c>
      <c r="L48" s="43" t="s">
        <v>5</v>
      </c>
      <c r="M48" s="43" t="s">
        <v>87</v>
      </c>
      <c r="N48" s="43" t="s">
        <v>7</v>
      </c>
      <c r="O48" s="43" t="s">
        <v>86</v>
      </c>
      <c r="P48" s="43" t="s">
        <v>8</v>
      </c>
      <c r="Q48" s="43" t="s">
        <v>9</v>
      </c>
      <c r="R48" s="43" t="s">
        <v>65</v>
      </c>
      <c r="S48" s="43" t="s">
        <v>114</v>
      </c>
      <c r="T48" s="43" t="s">
        <v>66</v>
      </c>
      <c r="U48" s="43" t="s">
        <v>11</v>
      </c>
      <c r="V48" s="43" t="s">
        <v>12</v>
      </c>
      <c r="W48" s="43" t="s">
        <v>13</v>
      </c>
      <c r="X48" s="43" t="s">
        <v>14</v>
      </c>
      <c r="Y48" s="3"/>
      <c r="Z48" s="3"/>
      <c r="AA48" s="43" t="s">
        <v>40</v>
      </c>
      <c r="AB48" s="43" t="s">
        <v>43</v>
      </c>
      <c r="AC48" s="43" t="s">
        <v>42</v>
      </c>
      <c r="AD48" s="43" t="s">
        <v>41</v>
      </c>
      <c r="AE48" s="43" t="s">
        <v>44</v>
      </c>
      <c r="AF48" s="43" t="s">
        <v>71</v>
      </c>
      <c r="AG48" s="43" t="s">
        <v>72</v>
      </c>
      <c r="AH48" s="43" t="s">
        <v>73</v>
      </c>
      <c r="AI48" s="43" t="s">
        <v>74</v>
      </c>
      <c r="AJ48" s="43" t="s">
        <v>75</v>
      </c>
      <c r="AK48" s="43" t="s">
        <v>91</v>
      </c>
      <c r="AL48" s="43" t="s">
        <v>92</v>
      </c>
      <c r="AM48" s="43" t="s">
        <v>93</v>
      </c>
      <c r="AN48" s="43" t="s">
        <v>94</v>
      </c>
      <c r="AO48" s="43" t="s">
        <v>95</v>
      </c>
      <c r="AP48" s="43" t="s">
        <v>96</v>
      </c>
      <c r="AQ48" s="43" t="s">
        <v>97</v>
      </c>
      <c r="AR48" s="43" t="s">
        <v>98</v>
      </c>
      <c r="AS48" s="43" t="s">
        <v>99</v>
      </c>
      <c r="AT48" s="43" t="s">
        <v>100</v>
      </c>
    </row>
    <row r="49" spans="1:46" customFormat="1" ht="15.75">
      <c r="A49" s="41"/>
      <c r="B49" s="44"/>
      <c r="C49" s="45"/>
      <c r="D49" s="46"/>
      <c r="E49" s="162"/>
      <c r="F49" s="163"/>
      <c r="G49" s="164"/>
      <c r="H49" s="162"/>
      <c r="I49" s="163"/>
      <c r="J49" s="164"/>
      <c r="K49" s="54"/>
      <c r="L49" s="55"/>
      <c r="M49" s="55"/>
      <c r="N49" s="55"/>
      <c r="O49" s="55"/>
      <c r="P49" s="55"/>
      <c r="Q49" s="56"/>
      <c r="R49" s="72"/>
      <c r="S49" s="73"/>
      <c r="T49" s="73"/>
      <c r="U49" s="73"/>
      <c r="V49" s="73"/>
      <c r="W49" s="73"/>
      <c r="X49" s="74"/>
      <c r="Y49" s="3"/>
      <c r="Z49" s="3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112"/>
      <c r="AT49" s="112"/>
    </row>
    <row r="50" spans="1:46" customFormat="1" ht="15.75">
      <c r="A50" s="41"/>
      <c r="B50" s="44"/>
      <c r="C50" s="45"/>
      <c r="D50" s="46"/>
      <c r="E50" s="162"/>
      <c r="F50" s="163"/>
      <c r="G50" s="164"/>
      <c r="H50" s="162"/>
      <c r="I50" s="163"/>
      <c r="J50" s="164"/>
      <c r="K50" s="54"/>
      <c r="L50" s="55"/>
      <c r="M50" s="55"/>
      <c r="N50" s="55"/>
      <c r="O50" s="55"/>
      <c r="P50" s="55"/>
      <c r="Q50" s="56"/>
      <c r="R50" s="72"/>
      <c r="S50" s="73"/>
      <c r="T50" s="73"/>
      <c r="U50" s="73"/>
      <c r="V50" s="73"/>
      <c r="W50" s="73"/>
      <c r="X50" s="74"/>
      <c r="Y50" s="3"/>
      <c r="Z50" s="3" t="str">
        <f t="shared" ref="Z50:Z90" si="0">IF(A50&lt;&gt;"",A50,"")</f>
        <v/>
      </c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  <c r="AS50" s="112"/>
      <c r="AT50" s="112"/>
    </row>
    <row r="51" spans="1:46" customFormat="1" ht="15.75">
      <c r="A51" s="41"/>
      <c r="B51" s="47"/>
      <c r="C51" s="48"/>
      <c r="D51" s="49"/>
      <c r="E51" s="165"/>
      <c r="F51" s="166"/>
      <c r="G51" s="167"/>
      <c r="H51" s="165"/>
      <c r="I51" s="166"/>
      <c r="J51" s="167"/>
      <c r="K51" s="57"/>
      <c r="L51" s="58"/>
      <c r="M51" s="58"/>
      <c r="N51" s="58"/>
      <c r="O51" s="58"/>
      <c r="P51" s="58"/>
      <c r="Q51" s="59"/>
      <c r="R51" s="75"/>
      <c r="S51" s="76"/>
      <c r="T51" s="76"/>
      <c r="U51" s="76"/>
      <c r="V51" s="76"/>
      <c r="W51" s="76"/>
      <c r="X51" s="77"/>
      <c r="Y51" s="3"/>
      <c r="Z51" s="3" t="str">
        <f t="shared" si="0"/>
        <v/>
      </c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112"/>
      <c r="AT51" s="112"/>
    </row>
    <row r="52" spans="1:46" customFormat="1" ht="15.75">
      <c r="A52" s="41"/>
      <c r="B52" s="50"/>
      <c r="C52" s="48"/>
      <c r="D52" s="49"/>
      <c r="E52" s="165"/>
      <c r="F52" s="166"/>
      <c r="G52" s="167"/>
      <c r="H52" s="165"/>
      <c r="I52" s="166"/>
      <c r="J52" s="167"/>
      <c r="K52" s="57"/>
      <c r="L52" s="58"/>
      <c r="M52" s="58"/>
      <c r="N52" s="58"/>
      <c r="O52" s="58"/>
      <c r="P52" s="58"/>
      <c r="Q52" s="59"/>
      <c r="R52" s="75"/>
      <c r="S52" s="76"/>
      <c r="T52" s="76"/>
      <c r="U52" s="76"/>
      <c r="V52" s="76"/>
      <c r="W52" s="76"/>
      <c r="X52" s="77"/>
      <c r="Y52" s="3"/>
      <c r="Z52" s="3" t="str">
        <f t="shared" si="0"/>
        <v/>
      </c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  <c r="AN52" s="112"/>
      <c r="AO52" s="112"/>
      <c r="AP52" s="112"/>
      <c r="AQ52" s="112"/>
      <c r="AR52" s="112"/>
      <c r="AS52" s="112"/>
      <c r="AT52" s="112"/>
    </row>
    <row r="53" spans="1:46" customFormat="1" ht="15.75">
      <c r="A53" s="41"/>
      <c r="B53" s="47"/>
      <c r="C53" s="48"/>
      <c r="D53" s="49"/>
      <c r="E53" s="165"/>
      <c r="F53" s="166"/>
      <c r="G53" s="167"/>
      <c r="H53" s="165"/>
      <c r="I53" s="166"/>
      <c r="J53" s="167"/>
      <c r="K53" s="57"/>
      <c r="L53" s="58"/>
      <c r="M53" s="58"/>
      <c r="N53" s="58"/>
      <c r="O53" s="58"/>
      <c r="P53" s="58"/>
      <c r="Q53" s="59"/>
      <c r="R53" s="75"/>
      <c r="S53" s="76"/>
      <c r="T53" s="76"/>
      <c r="U53" s="76"/>
      <c r="V53" s="76"/>
      <c r="W53" s="76"/>
      <c r="X53" s="77"/>
      <c r="Y53" s="3"/>
      <c r="Z53" s="3" t="str">
        <f t="shared" si="0"/>
        <v/>
      </c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  <c r="AN53" s="112"/>
      <c r="AO53" s="112"/>
      <c r="AP53" s="112"/>
      <c r="AQ53" s="112"/>
      <c r="AR53" s="112"/>
      <c r="AS53" s="112"/>
      <c r="AT53" s="112"/>
    </row>
    <row r="54" spans="1:46" customFormat="1" ht="15.75">
      <c r="A54" s="41"/>
      <c r="B54" s="47"/>
      <c r="C54" s="48"/>
      <c r="D54" s="49"/>
      <c r="E54" s="165"/>
      <c r="F54" s="166"/>
      <c r="G54" s="167"/>
      <c r="H54" s="165"/>
      <c r="I54" s="166"/>
      <c r="J54" s="167"/>
      <c r="K54" s="57"/>
      <c r="L54" s="58"/>
      <c r="M54" s="58"/>
      <c r="N54" s="58"/>
      <c r="O54" s="58"/>
      <c r="P54" s="58"/>
      <c r="Q54" s="59"/>
      <c r="R54" s="75"/>
      <c r="S54" s="76"/>
      <c r="T54" s="76"/>
      <c r="U54" s="76"/>
      <c r="V54" s="76"/>
      <c r="W54" s="76"/>
      <c r="X54" s="77"/>
      <c r="Y54" s="3"/>
      <c r="Z54" s="3" t="str">
        <f t="shared" si="0"/>
        <v/>
      </c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112"/>
      <c r="AS54" s="112"/>
      <c r="AT54" s="112"/>
    </row>
    <row r="55" spans="1:46" customFormat="1" ht="15.75">
      <c r="A55" s="41"/>
      <c r="B55" s="47"/>
      <c r="C55" s="48"/>
      <c r="D55" s="49"/>
      <c r="E55" s="165"/>
      <c r="F55" s="166"/>
      <c r="G55" s="167"/>
      <c r="H55" s="165"/>
      <c r="I55" s="166"/>
      <c r="J55" s="167"/>
      <c r="K55" s="57"/>
      <c r="L55" s="58"/>
      <c r="M55" s="58"/>
      <c r="N55" s="58"/>
      <c r="O55" s="58"/>
      <c r="P55" s="58"/>
      <c r="Q55" s="59"/>
      <c r="R55" s="75"/>
      <c r="S55" s="76"/>
      <c r="T55" s="76"/>
      <c r="U55" s="76"/>
      <c r="V55" s="76"/>
      <c r="W55" s="76"/>
      <c r="X55" s="77"/>
      <c r="Y55" s="3"/>
      <c r="Z55" s="3" t="str">
        <f t="shared" si="0"/>
        <v/>
      </c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  <c r="AN55" s="112"/>
      <c r="AO55" s="112"/>
      <c r="AP55" s="112"/>
      <c r="AQ55" s="112"/>
      <c r="AR55" s="112"/>
      <c r="AS55" s="112"/>
      <c r="AT55" s="112"/>
    </row>
    <row r="56" spans="1:46" customFormat="1" ht="15.75">
      <c r="A56" s="41"/>
      <c r="B56" s="47"/>
      <c r="C56" s="48"/>
      <c r="D56" s="49"/>
      <c r="E56" s="165"/>
      <c r="F56" s="166"/>
      <c r="G56" s="167"/>
      <c r="H56" s="165"/>
      <c r="I56" s="166"/>
      <c r="J56" s="167"/>
      <c r="K56" s="57"/>
      <c r="L56" s="58"/>
      <c r="M56" s="58"/>
      <c r="N56" s="58"/>
      <c r="O56" s="58"/>
      <c r="P56" s="58"/>
      <c r="Q56" s="59"/>
      <c r="R56" s="75"/>
      <c r="S56" s="76"/>
      <c r="T56" s="76"/>
      <c r="U56" s="76"/>
      <c r="V56" s="76"/>
      <c r="W56" s="76"/>
      <c r="X56" s="77"/>
      <c r="Y56" s="3"/>
      <c r="Z56" s="3" t="str">
        <f t="shared" si="0"/>
        <v/>
      </c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  <c r="AN56" s="112"/>
      <c r="AO56" s="112"/>
      <c r="AP56" s="112"/>
      <c r="AQ56" s="112"/>
      <c r="AR56" s="112"/>
      <c r="AS56" s="112"/>
      <c r="AT56" s="112"/>
    </row>
    <row r="57" spans="1:46" customFormat="1" ht="15.75">
      <c r="A57" s="41"/>
      <c r="B57" s="47"/>
      <c r="C57" s="48"/>
      <c r="D57" s="49"/>
      <c r="E57" s="165"/>
      <c r="F57" s="166"/>
      <c r="G57" s="167"/>
      <c r="H57" s="165"/>
      <c r="I57" s="166"/>
      <c r="J57" s="167"/>
      <c r="K57" s="57"/>
      <c r="L57" s="58"/>
      <c r="M57" s="58"/>
      <c r="N57" s="58"/>
      <c r="O57" s="58"/>
      <c r="P57" s="58"/>
      <c r="Q57" s="59"/>
      <c r="R57" s="75"/>
      <c r="S57" s="76"/>
      <c r="T57" s="76"/>
      <c r="U57" s="76"/>
      <c r="V57" s="76"/>
      <c r="W57" s="76"/>
      <c r="X57" s="77"/>
      <c r="Y57" s="3"/>
      <c r="Z57" s="3" t="str">
        <f t="shared" si="0"/>
        <v/>
      </c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  <c r="AN57" s="112"/>
      <c r="AO57" s="112"/>
      <c r="AP57" s="112"/>
      <c r="AQ57" s="112"/>
      <c r="AR57" s="112"/>
      <c r="AS57" s="112"/>
      <c r="AT57" s="112"/>
    </row>
    <row r="58" spans="1:46" customFormat="1" ht="15.75">
      <c r="A58" s="41"/>
      <c r="B58" s="47"/>
      <c r="C58" s="48"/>
      <c r="D58" s="49"/>
      <c r="E58" s="165"/>
      <c r="F58" s="166"/>
      <c r="G58" s="167"/>
      <c r="H58" s="165"/>
      <c r="I58" s="166"/>
      <c r="J58" s="167"/>
      <c r="K58" s="57"/>
      <c r="L58" s="58"/>
      <c r="M58" s="58"/>
      <c r="N58" s="58"/>
      <c r="O58" s="58"/>
      <c r="P58" s="58"/>
      <c r="Q58" s="59"/>
      <c r="R58" s="75"/>
      <c r="S58" s="76"/>
      <c r="T58" s="76"/>
      <c r="U58" s="76"/>
      <c r="V58" s="76"/>
      <c r="W58" s="76"/>
      <c r="X58" s="77"/>
      <c r="Y58" s="3"/>
      <c r="Z58" s="3" t="str">
        <f t="shared" si="0"/>
        <v/>
      </c>
      <c r="AA58" s="112"/>
      <c r="AB58" s="112"/>
      <c r="AC58" s="112"/>
      <c r="AD58" s="112"/>
      <c r="AE58" s="112"/>
      <c r="AF58" s="112"/>
      <c r="AG58" s="112"/>
      <c r="AH58" s="112"/>
      <c r="AI58" s="112"/>
      <c r="AJ58" s="112"/>
      <c r="AK58" s="112"/>
      <c r="AL58" s="112"/>
      <c r="AM58" s="112"/>
      <c r="AN58" s="112"/>
      <c r="AO58" s="112"/>
      <c r="AP58" s="112"/>
      <c r="AQ58" s="112"/>
      <c r="AR58" s="112"/>
      <c r="AS58" s="112"/>
      <c r="AT58" s="112"/>
    </row>
    <row r="59" spans="1:46" customFormat="1" ht="15.75">
      <c r="A59" s="41"/>
      <c r="B59" s="47"/>
      <c r="C59" s="48"/>
      <c r="D59" s="49"/>
      <c r="E59" s="165"/>
      <c r="F59" s="166"/>
      <c r="G59" s="167"/>
      <c r="H59" s="165"/>
      <c r="I59" s="166"/>
      <c r="J59" s="167"/>
      <c r="K59" s="57"/>
      <c r="L59" s="58"/>
      <c r="M59" s="58"/>
      <c r="N59" s="58"/>
      <c r="O59" s="58"/>
      <c r="P59" s="58"/>
      <c r="Q59" s="59"/>
      <c r="R59" s="75"/>
      <c r="S59" s="76"/>
      <c r="T59" s="76"/>
      <c r="U59" s="76"/>
      <c r="V59" s="76"/>
      <c r="W59" s="76"/>
      <c r="X59" s="77"/>
      <c r="Y59" s="3"/>
      <c r="Z59" s="3" t="str">
        <f t="shared" si="0"/>
        <v/>
      </c>
      <c r="AA59" s="112"/>
      <c r="AB59" s="112"/>
      <c r="AC59" s="112"/>
      <c r="AD59" s="112"/>
      <c r="AE59" s="112"/>
      <c r="AF59" s="112"/>
      <c r="AG59" s="112"/>
      <c r="AH59" s="112"/>
      <c r="AI59" s="112"/>
      <c r="AJ59" s="112"/>
      <c r="AK59" s="112"/>
      <c r="AL59" s="112"/>
      <c r="AM59" s="112"/>
      <c r="AN59" s="112"/>
      <c r="AO59" s="112"/>
      <c r="AP59" s="112"/>
      <c r="AQ59" s="112"/>
      <c r="AR59" s="112"/>
      <c r="AS59" s="112"/>
      <c r="AT59" s="112"/>
    </row>
    <row r="60" spans="1:46" customFormat="1" ht="15.75">
      <c r="A60" s="41"/>
      <c r="B60" s="47"/>
      <c r="C60" s="48"/>
      <c r="D60" s="49"/>
      <c r="E60" s="165"/>
      <c r="F60" s="166"/>
      <c r="G60" s="167"/>
      <c r="H60" s="165"/>
      <c r="I60" s="166"/>
      <c r="J60" s="167"/>
      <c r="K60" s="57"/>
      <c r="L60" s="58"/>
      <c r="M60" s="58"/>
      <c r="N60" s="58"/>
      <c r="O60" s="58"/>
      <c r="P60" s="58"/>
      <c r="Q60" s="59"/>
      <c r="R60" s="75"/>
      <c r="S60" s="76"/>
      <c r="T60" s="76"/>
      <c r="U60" s="76"/>
      <c r="V60" s="76"/>
      <c r="W60" s="76"/>
      <c r="X60" s="77"/>
      <c r="Y60" s="3"/>
      <c r="Z60" s="3" t="str">
        <f t="shared" si="0"/>
        <v/>
      </c>
      <c r="AA60" s="112"/>
      <c r="AB60" s="112"/>
      <c r="AC60" s="112"/>
      <c r="AD60" s="112"/>
      <c r="AE60" s="112"/>
      <c r="AF60" s="112"/>
      <c r="AG60" s="112"/>
      <c r="AH60" s="112"/>
      <c r="AI60" s="112"/>
      <c r="AJ60" s="112"/>
      <c r="AK60" s="112"/>
      <c r="AL60" s="112"/>
      <c r="AM60" s="112"/>
      <c r="AN60" s="112"/>
      <c r="AO60" s="112"/>
      <c r="AP60" s="112"/>
      <c r="AQ60" s="112"/>
      <c r="AR60" s="112"/>
      <c r="AS60" s="112"/>
      <c r="AT60" s="112"/>
    </row>
    <row r="61" spans="1:46" customFormat="1" ht="15.75">
      <c r="A61" s="41"/>
      <c r="B61" s="47"/>
      <c r="C61" s="48"/>
      <c r="D61" s="49"/>
      <c r="E61" s="165"/>
      <c r="F61" s="166"/>
      <c r="G61" s="167"/>
      <c r="H61" s="165"/>
      <c r="I61" s="166"/>
      <c r="J61" s="167"/>
      <c r="K61" s="57"/>
      <c r="L61" s="58"/>
      <c r="M61" s="58"/>
      <c r="N61" s="58"/>
      <c r="O61" s="58"/>
      <c r="P61" s="58"/>
      <c r="Q61" s="59"/>
      <c r="R61" s="75"/>
      <c r="S61" s="76"/>
      <c r="T61" s="76"/>
      <c r="U61" s="76"/>
      <c r="V61" s="76"/>
      <c r="W61" s="76"/>
      <c r="X61" s="77"/>
      <c r="Y61" s="3"/>
      <c r="Z61" s="3" t="str">
        <f t="shared" si="0"/>
        <v/>
      </c>
      <c r="AA61" s="112"/>
      <c r="AB61" s="112"/>
      <c r="AC61" s="112"/>
      <c r="AD61" s="112"/>
      <c r="AE61" s="112"/>
      <c r="AF61" s="112"/>
      <c r="AG61" s="112"/>
      <c r="AH61" s="112"/>
      <c r="AI61" s="112"/>
      <c r="AJ61" s="112"/>
      <c r="AK61" s="112"/>
      <c r="AL61" s="112"/>
      <c r="AM61" s="112"/>
      <c r="AN61" s="112"/>
      <c r="AO61" s="112"/>
      <c r="AP61" s="112"/>
      <c r="AQ61" s="112"/>
      <c r="AR61" s="112"/>
      <c r="AS61" s="112"/>
      <c r="AT61" s="112"/>
    </row>
    <row r="62" spans="1:46" customFormat="1" ht="15.75">
      <c r="A62" s="41"/>
      <c r="B62" s="47"/>
      <c r="C62" s="48"/>
      <c r="D62" s="49"/>
      <c r="E62" s="165"/>
      <c r="F62" s="166"/>
      <c r="G62" s="167"/>
      <c r="H62" s="165"/>
      <c r="I62" s="166"/>
      <c r="J62" s="167"/>
      <c r="K62" s="57"/>
      <c r="L62" s="58"/>
      <c r="M62" s="58"/>
      <c r="N62" s="58"/>
      <c r="O62" s="58"/>
      <c r="P62" s="58"/>
      <c r="Q62" s="59"/>
      <c r="R62" s="75"/>
      <c r="S62" s="76"/>
      <c r="T62" s="76"/>
      <c r="U62" s="76"/>
      <c r="V62" s="76"/>
      <c r="W62" s="76"/>
      <c r="X62" s="77"/>
      <c r="Y62" s="3"/>
      <c r="Z62" s="3" t="str">
        <f t="shared" si="0"/>
        <v/>
      </c>
      <c r="AA62" s="112"/>
      <c r="AB62" s="112"/>
      <c r="AC62" s="112"/>
      <c r="AD62" s="112"/>
      <c r="AE62" s="112"/>
      <c r="AF62" s="112"/>
      <c r="AG62" s="112"/>
      <c r="AH62" s="112"/>
      <c r="AI62" s="112"/>
      <c r="AJ62" s="112"/>
      <c r="AK62" s="112"/>
      <c r="AL62" s="112"/>
      <c r="AM62" s="112"/>
      <c r="AN62" s="112"/>
      <c r="AO62" s="112"/>
      <c r="AP62" s="112"/>
      <c r="AQ62" s="112"/>
      <c r="AR62" s="112"/>
      <c r="AS62" s="112"/>
      <c r="AT62" s="112"/>
    </row>
    <row r="63" spans="1:46" customFormat="1" ht="15.75">
      <c r="A63" s="41"/>
      <c r="B63" s="47"/>
      <c r="C63" s="48"/>
      <c r="D63" s="49"/>
      <c r="E63" s="165"/>
      <c r="F63" s="166"/>
      <c r="G63" s="167"/>
      <c r="H63" s="165"/>
      <c r="I63" s="166"/>
      <c r="J63" s="167"/>
      <c r="K63" s="57"/>
      <c r="L63" s="58"/>
      <c r="M63" s="58"/>
      <c r="N63" s="58"/>
      <c r="O63" s="58"/>
      <c r="P63" s="58"/>
      <c r="Q63" s="59"/>
      <c r="R63" s="75"/>
      <c r="S63" s="76"/>
      <c r="T63" s="76"/>
      <c r="U63" s="76"/>
      <c r="V63" s="76"/>
      <c r="W63" s="76"/>
      <c r="X63" s="77"/>
      <c r="Y63" s="3"/>
      <c r="Z63" s="3" t="str">
        <f t="shared" si="0"/>
        <v/>
      </c>
      <c r="AA63" s="112"/>
      <c r="AB63" s="112"/>
      <c r="AC63" s="112"/>
      <c r="AD63" s="112"/>
      <c r="AE63" s="112"/>
      <c r="AF63" s="112"/>
      <c r="AG63" s="112"/>
      <c r="AH63" s="112"/>
      <c r="AI63" s="112"/>
      <c r="AJ63" s="112"/>
      <c r="AK63" s="112"/>
      <c r="AL63" s="112"/>
      <c r="AM63" s="112"/>
      <c r="AN63" s="112"/>
      <c r="AO63" s="112"/>
      <c r="AP63" s="112"/>
      <c r="AQ63" s="112"/>
      <c r="AR63" s="112"/>
      <c r="AS63" s="112"/>
      <c r="AT63" s="112"/>
    </row>
    <row r="64" spans="1:46" customFormat="1" ht="15.75">
      <c r="A64" s="41"/>
      <c r="B64" s="47"/>
      <c r="C64" s="48"/>
      <c r="D64" s="49"/>
      <c r="E64" s="165"/>
      <c r="F64" s="166"/>
      <c r="G64" s="167"/>
      <c r="H64" s="165"/>
      <c r="I64" s="166"/>
      <c r="J64" s="167"/>
      <c r="K64" s="57"/>
      <c r="L64" s="58"/>
      <c r="M64" s="58"/>
      <c r="N64" s="58"/>
      <c r="O64" s="58"/>
      <c r="P64" s="58"/>
      <c r="Q64" s="59"/>
      <c r="R64" s="75"/>
      <c r="S64" s="76"/>
      <c r="T64" s="76"/>
      <c r="U64" s="76"/>
      <c r="V64" s="76"/>
      <c r="W64" s="76"/>
      <c r="X64" s="77"/>
      <c r="Y64" s="3"/>
      <c r="Z64" s="3" t="str">
        <f t="shared" si="0"/>
        <v/>
      </c>
      <c r="AA64" s="112"/>
      <c r="AB64" s="112"/>
      <c r="AC64" s="112"/>
      <c r="AD64" s="112"/>
      <c r="AE64" s="112"/>
      <c r="AF64" s="112"/>
      <c r="AG64" s="112"/>
      <c r="AH64" s="112"/>
      <c r="AI64" s="112"/>
      <c r="AJ64" s="112"/>
      <c r="AK64" s="112"/>
      <c r="AL64" s="112"/>
      <c r="AM64" s="112"/>
      <c r="AN64" s="112"/>
      <c r="AO64" s="112"/>
      <c r="AP64" s="112"/>
      <c r="AQ64" s="112"/>
      <c r="AR64" s="112"/>
      <c r="AS64" s="112"/>
      <c r="AT64" s="112"/>
    </row>
    <row r="65" spans="1:46" customFormat="1" ht="15.75">
      <c r="A65" s="41"/>
      <c r="B65" s="47"/>
      <c r="C65" s="48"/>
      <c r="D65" s="49"/>
      <c r="E65" s="165"/>
      <c r="F65" s="166"/>
      <c r="G65" s="167"/>
      <c r="H65" s="165"/>
      <c r="I65" s="166"/>
      <c r="J65" s="167"/>
      <c r="K65" s="57"/>
      <c r="L65" s="58"/>
      <c r="M65" s="58"/>
      <c r="N65" s="58"/>
      <c r="O65" s="58"/>
      <c r="P65" s="58"/>
      <c r="Q65" s="59"/>
      <c r="R65" s="75"/>
      <c r="S65" s="76"/>
      <c r="T65" s="76"/>
      <c r="U65" s="76"/>
      <c r="V65" s="76"/>
      <c r="W65" s="76"/>
      <c r="X65" s="77"/>
      <c r="Y65" s="3"/>
      <c r="Z65" s="3" t="str">
        <f t="shared" si="0"/>
        <v/>
      </c>
      <c r="AA65" s="112"/>
      <c r="AB65" s="112"/>
      <c r="AC65" s="112"/>
      <c r="AD65" s="112"/>
      <c r="AE65" s="112"/>
      <c r="AF65" s="112"/>
      <c r="AG65" s="112"/>
      <c r="AH65" s="112"/>
      <c r="AI65" s="112"/>
      <c r="AJ65" s="112"/>
      <c r="AK65" s="112"/>
      <c r="AL65" s="112"/>
      <c r="AM65" s="112"/>
      <c r="AN65" s="112"/>
      <c r="AO65" s="112"/>
      <c r="AP65" s="112"/>
      <c r="AQ65" s="112"/>
      <c r="AR65" s="112"/>
      <c r="AS65" s="112"/>
      <c r="AT65" s="112"/>
    </row>
    <row r="66" spans="1:46" customFormat="1" ht="15.75">
      <c r="A66" s="41"/>
      <c r="B66" s="47"/>
      <c r="C66" s="48"/>
      <c r="D66" s="49"/>
      <c r="E66" s="165"/>
      <c r="F66" s="166"/>
      <c r="G66" s="167"/>
      <c r="H66" s="165"/>
      <c r="I66" s="166"/>
      <c r="J66" s="167"/>
      <c r="K66" s="57"/>
      <c r="L66" s="58"/>
      <c r="M66" s="58"/>
      <c r="N66" s="58"/>
      <c r="O66" s="58"/>
      <c r="P66" s="58"/>
      <c r="Q66" s="59"/>
      <c r="R66" s="75"/>
      <c r="S66" s="76"/>
      <c r="T66" s="76"/>
      <c r="U66" s="76"/>
      <c r="V66" s="76"/>
      <c r="W66" s="76"/>
      <c r="X66" s="77"/>
      <c r="Y66" s="3"/>
      <c r="Z66" s="3" t="str">
        <f t="shared" si="0"/>
        <v/>
      </c>
      <c r="AA66" s="112"/>
      <c r="AB66" s="112"/>
      <c r="AC66" s="112"/>
      <c r="AD66" s="112"/>
      <c r="AE66" s="112"/>
      <c r="AF66" s="112"/>
      <c r="AG66" s="112"/>
      <c r="AH66" s="112"/>
      <c r="AI66" s="112"/>
      <c r="AJ66" s="112"/>
      <c r="AK66" s="112"/>
      <c r="AL66" s="112"/>
      <c r="AM66" s="112"/>
      <c r="AN66" s="112"/>
      <c r="AO66" s="112"/>
      <c r="AP66" s="112"/>
      <c r="AQ66" s="112"/>
      <c r="AR66" s="112"/>
      <c r="AS66" s="112"/>
      <c r="AT66" s="112"/>
    </row>
    <row r="67" spans="1:46" customFormat="1" ht="15.75">
      <c r="A67" s="41"/>
      <c r="B67" s="47"/>
      <c r="C67" s="48"/>
      <c r="D67" s="49"/>
      <c r="E67" s="165"/>
      <c r="F67" s="166"/>
      <c r="G67" s="167"/>
      <c r="H67" s="165"/>
      <c r="I67" s="166"/>
      <c r="J67" s="167"/>
      <c r="K67" s="57"/>
      <c r="L67" s="58"/>
      <c r="M67" s="58"/>
      <c r="N67" s="58"/>
      <c r="O67" s="58"/>
      <c r="P67" s="58"/>
      <c r="Q67" s="59"/>
      <c r="R67" s="75"/>
      <c r="S67" s="76"/>
      <c r="T67" s="76"/>
      <c r="U67" s="76"/>
      <c r="V67" s="76"/>
      <c r="W67" s="76"/>
      <c r="X67" s="77"/>
      <c r="Y67" s="3"/>
      <c r="Z67" s="3" t="str">
        <f t="shared" si="0"/>
        <v/>
      </c>
      <c r="AA67" s="112"/>
      <c r="AB67" s="112"/>
      <c r="AC67" s="112"/>
      <c r="AD67" s="112"/>
      <c r="AE67" s="112"/>
      <c r="AF67" s="112"/>
      <c r="AG67" s="112"/>
      <c r="AH67" s="112"/>
      <c r="AI67" s="112"/>
      <c r="AJ67" s="112"/>
      <c r="AK67" s="112"/>
      <c r="AL67" s="112"/>
      <c r="AM67" s="112"/>
      <c r="AN67" s="112"/>
      <c r="AO67" s="112"/>
      <c r="AP67" s="112"/>
      <c r="AQ67" s="112"/>
      <c r="AR67" s="112"/>
      <c r="AS67" s="112"/>
      <c r="AT67" s="112"/>
    </row>
    <row r="68" spans="1:46" customFormat="1" ht="15.75">
      <c r="A68" s="41"/>
      <c r="B68" s="47"/>
      <c r="C68" s="48"/>
      <c r="D68" s="49"/>
      <c r="E68" s="165"/>
      <c r="F68" s="166"/>
      <c r="G68" s="167"/>
      <c r="H68" s="165"/>
      <c r="I68" s="166"/>
      <c r="J68" s="167"/>
      <c r="K68" s="57"/>
      <c r="L68" s="58"/>
      <c r="M68" s="58"/>
      <c r="N68" s="58"/>
      <c r="O68" s="58"/>
      <c r="P68" s="58"/>
      <c r="Q68" s="59"/>
      <c r="R68" s="75"/>
      <c r="S68" s="76"/>
      <c r="T68" s="76"/>
      <c r="U68" s="76"/>
      <c r="V68" s="76"/>
      <c r="W68" s="76"/>
      <c r="X68" s="77"/>
      <c r="Y68" s="3"/>
      <c r="Z68" s="3" t="str">
        <f t="shared" si="0"/>
        <v/>
      </c>
      <c r="AA68" s="112"/>
      <c r="AB68" s="112"/>
      <c r="AC68" s="112"/>
      <c r="AD68" s="112"/>
      <c r="AE68" s="112"/>
      <c r="AF68" s="112"/>
      <c r="AG68" s="112"/>
      <c r="AH68" s="112"/>
      <c r="AI68" s="112"/>
      <c r="AJ68" s="112"/>
      <c r="AK68" s="112"/>
      <c r="AL68" s="112"/>
      <c r="AM68" s="112"/>
      <c r="AN68" s="112"/>
      <c r="AO68" s="112"/>
      <c r="AP68" s="112"/>
      <c r="AQ68" s="112"/>
      <c r="AR68" s="112"/>
      <c r="AS68" s="112"/>
      <c r="AT68" s="112"/>
    </row>
    <row r="69" spans="1:46" customFormat="1" ht="15.75">
      <c r="A69" s="41"/>
      <c r="B69" s="47"/>
      <c r="C69" s="48"/>
      <c r="D69" s="49"/>
      <c r="E69" s="165"/>
      <c r="F69" s="166"/>
      <c r="G69" s="167"/>
      <c r="H69" s="165"/>
      <c r="I69" s="166"/>
      <c r="J69" s="167"/>
      <c r="K69" s="57"/>
      <c r="L69" s="58"/>
      <c r="M69" s="58"/>
      <c r="N69" s="58"/>
      <c r="O69" s="58"/>
      <c r="P69" s="58"/>
      <c r="Q69" s="59"/>
      <c r="R69" s="75"/>
      <c r="S69" s="78"/>
      <c r="T69" s="76"/>
      <c r="U69" s="76"/>
      <c r="V69" s="76"/>
      <c r="W69" s="76"/>
      <c r="X69" s="77"/>
      <c r="Y69" s="3"/>
      <c r="Z69" s="3" t="str">
        <f t="shared" si="0"/>
        <v/>
      </c>
      <c r="AA69" s="112"/>
      <c r="AB69" s="112"/>
      <c r="AC69" s="112"/>
      <c r="AD69" s="112"/>
      <c r="AE69" s="112"/>
      <c r="AF69" s="112"/>
      <c r="AG69" s="112"/>
      <c r="AH69" s="112"/>
      <c r="AI69" s="112"/>
      <c r="AJ69" s="112"/>
      <c r="AK69" s="112"/>
      <c r="AL69" s="112"/>
      <c r="AM69" s="112"/>
      <c r="AN69" s="112"/>
      <c r="AO69" s="112"/>
      <c r="AP69" s="112"/>
      <c r="AQ69" s="112"/>
      <c r="AR69" s="112"/>
      <c r="AS69" s="112"/>
      <c r="AT69" s="112"/>
    </row>
    <row r="70" spans="1:46" customFormat="1" ht="15.75">
      <c r="A70" s="41"/>
      <c r="B70" s="47"/>
      <c r="C70" s="48"/>
      <c r="D70" s="49"/>
      <c r="E70" s="165"/>
      <c r="F70" s="166"/>
      <c r="G70" s="167"/>
      <c r="H70" s="165"/>
      <c r="I70" s="166"/>
      <c r="J70" s="167"/>
      <c r="K70" s="57"/>
      <c r="L70" s="58"/>
      <c r="M70" s="58"/>
      <c r="N70" s="58"/>
      <c r="O70" s="58"/>
      <c r="P70" s="58"/>
      <c r="Q70" s="59"/>
      <c r="R70" s="75"/>
      <c r="S70" s="78"/>
      <c r="T70" s="76"/>
      <c r="U70" s="76"/>
      <c r="V70" s="76"/>
      <c r="W70" s="76"/>
      <c r="X70" s="77"/>
      <c r="Y70" s="3"/>
      <c r="Z70" s="3" t="str">
        <f t="shared" si="0"/>
        <v/>
      </c>
      <c r="AA70" s="112"/>
      <c r="AB70" s="112"/>
      <c r="AC70" s="112"/>
      <c r="AD70" s="112"/>
      <c r="AE70" s="112"/>
      <c r="AF70" s="112"/>
      <c r="AG70" s="112"/>
      <c r="AH70" s="112"/>
      <c r="AI70" s="112"/>
      <c r="AJ70" s="112"/>
      <c r="AK70" s="112"/>
      <c r="AL70" s="112"/>
      <c r="AM70" s="112"/>
      <c r="AN70" s="112"/>
      <c r="AO70" s="112"/>
      <c r="AP70" s="112"/>
      <c r="AQ70" s="112"/>
      <c r="AR70" s="112"/>
      <c r="AS70" s="112"/>
      <c r="AT70" s="112"/>
    </row>
    <row r="71" spans="1:46" customFormat="1" ht="15.75">
      <c r="A71" s="41"/>
      <c r="B71" s="47"/>
      <c r="C71" s="48"/>
      <c r="D71" s="49"/>
      <c r="E71" s="165"/>
      <c r="F71" s="166"/>
      <c r="G71" s="167"/>
      <c r="H71" s="165"/>
      <c r="I71" s="166"/>
      <c r="J71" s="167"/>
      <c r="K71" s="57"/>
      <c r="L71" s="58"/>
      <c r="M71" s="58"/>
      <c r="N71" s="58"/>
      <c r="O71" s="58"/>
      <c r="P71" s="58"/>
      <c r="Q71" s="59"/>
      <c r="R71" s="75"/>
      <c r="S71" s="78"/>
      <c r="T71" s="76"/>
      <c r="U71" s="76"/>
      <c r="V71" s="76"/>
      <c r="W71" s="76"/>
      <c r="X71" s="77"/>
      <c r="Y71" s="3"/>
      <c r="Z71" s="3" t="str">
        <f t="shared" si="0"/>
        <v/>
      </c>
      <c r="AA71" s="112"/>
      <c r="AB71" s="112"/>
      <c r="AC71" s="112"/>
      <c r="AD71" s="112"/>
      <c r="AE71" s="112"/>
      <c r="AF71" s="112"/>
      <c r="AG71" s="112"/>
      <c r="AH71" s="112"/>
      <c r="AI71" s="112"/>
      <c r="AJ71" s="112"/>
      <c r="AK71" s="112"/>
      <c r="AL71" s="112"/>
      <c r="AM71" s="112"/>
      <c r="AN71" s="112"/>
      <c r="AO71" s="112"/>
      <c r="AP71" s="112"/>
      <c r="AQ71" s="112"/>
      <c r="AR71" s="112"/>
      <c r="AS71" s="112"/>
      <c r="AT71" s="112"/>
    </row>
    <row r="72" spans="1:46" customFormat="1" ht="15.75">
      <c r="A72" s="41"/>
      <c r="B72" s="47"/>
      <c r="C72" s="48"/>
      <c r="D72" s="49"/>
      <c r="E72" s="165"/>
      <c r="F72" s="166"/>
      <c r="G72" s="167"/>
      <c r="H72" s="165"/>
      <c r="I72" s="166"/>
      <c r="J72" s="167"/>
      <c r="K72" s="57"/>
      <c r="L72" s="58"/>
      <c r="M72" s="58"/>
      <c r="N72" s="58"/>
      <c r="O72" s="58"/>
      <c r="P72" s="58"/>
      <c r="Q72" s="59"/>
      <c r="R72" s="75"/>
      <c r="S72" s="78"/>
      <c r="T72" s="76"/>
      <c r="U72" s="76"/>
      <c r="V72" s="76"/>
      <c r="W72" s="76"/>
      <c r="X72" s="77"/>
      <c r="Y72" s="3"/>
      <c r="Z72" s="3" t="str">
        <f t="shared" si="0"/>
        <v/>
      </c>
      <c r="AA72" s="112"/>
      <c r="AB72" s="112"/>
      <c r="AC72" s="112"/>
      <c r="AD72" s="112"/>
      <c r="AE72" s="112"/>
      <c r="AF72" s="112"/>
      <c r="AG72" s="112"/>
      <c r="AH72" s="112"/>
      <c r="AI72" s="112"/>
      <c r="AJ72" s="112"/>
      <c r="AK72" s="112"/>
      <c r="AL72" s="112"/>
      <c r="AM72" s="112"/>
      <c r="AN72" s="112"/>
      <c r="AO72" s="112"/>
      <c r="AP72" s="112"/>
      <c r="AQ72" s="112"/>
      <c r="AR72" s="112"/>
      <c r="AS72" s="112"/>
      <c r="AT72" s="112"/>
    </row>
    <row r="73" spans="1:46" customFormat="1" ht="15.75">
      <c r="A73" s="41"/>
      <c r="B73" s="47"/>
      <c r="C73" s="48"/>
      <c r="D73" s="49"/>
      <c r="E73" s="165"/>
      <c r="F73" s="166"/>
      <c r="G73" s="167"/>
      <c r="H73" s="165"/>
      <c r="I73" s="166"/>
      <c r="J73" s="167"/>
      <c r="K73" s="57"/>
      <c r="L73" s="58"/>
      <c r="M73" s="58"/>
      <c r="N73" s="58"/>
      <c r="O73" s="58"/>
      <c r="P73" s="58"/>
      <c r="Q73" s="59"/>
      <c r="R73" s="75"/>
      <c r="S73" s="78"/>
      <c r="T73" s="76"/>
      <c r="U73" s="76"/>
      <c r="V73" s="76"/>
      <c r="W73" s="76"/>
      <c r="X73" s="77"/>
      <c r="Y73" s="3"/>
      <c r="Z73" s="3" t="str">
        <f t="shared" si="0"/>
        <v/>
      </c>
      <c r="AA73" s="112"/>
      <c r="AB73" s="112"/>
      <c r="AC73" s="112"/>
      <c r="AD73" s="112"/>
      <c r="AE73" s="112"/>
      <c r="AF73" s="112"/>
      <c r="AG73" s="112"/>
      <c r="AH73" s="112"/>
      <c r="AI73" s="112"/>
      <c r="AJ73" s="112"/>
      <c r="AK73" s="112"/>
      <c r="AL73" s="112"/>
      <c r="AM73" s="112"/>
      <c r="AN73" s="112"/>
      <c r="AO73" s="112"/>
      <c r="AP73" s="112"/>
      <c r="AQ73" s="112"/>
      <c r="AR73" s="112"/>
      <c r="AS73" s="112"/>
      <c r="AT73" s="112"/>
    </row>
    <row r="74" spans="1:46" customFormat="1" ht="15.75">
      <c r="A74" s="41"/>
      <c r="B74" s="47"/>
      <c r="C74" s="48"/>
      <c r="D74" s="49"/>
      <c r="E74" s="165"/>
      <c r="F74" s="166"/>
      <c r="G74" s="167"/>
      <c r="H74" s="165"/>
      <c r="I74" s="166"/>
      <c r="J74" s="167"/>
      <c r="K74" s="57"/>
      <c r="L74" s="58"/>
      <c r="M74" s="58"/>
      <c r="N74" s="58"/>
      <c r="O74" s="58"/>
      <c r="P74" s="58"/>
      <c r="Q74" s="59"/>
      <c r="R74" s="75"/>
      <c r="S74" s="78"/>
      <c r="T74" s="76"/>
      <c r="U74" s="76"/>
      <c r="V74" s="76"/>
      <c r="W74" s="76"/>
      <c r="X74" s="77"/>
      <c r="Y74" s="3"/>
      <c r="Z74" s="3" t="str">
        <f t="shared" si="0"/>
        <v/>
      </c>
      <c r="AA74" s="112"/>
      <c r="AB74" s="112"/>
      <c r="AC74" s="112"/>
      <c r="AD74" s="112"/>
      <c r="AE74" s="112"/>
      <c r="AF74" s="112"/>
      <c r="AG74" s="112"/>
      <c r="AH74" s="112"/>
      <c r="AI74" s="112"/>
      <c r="AJ74" s="112"/>
      <c r="AK74" s="112"/>
      <c r="AL74" s="112"/>
      <c r="AM74" s="112"/>
      <c r="AN74" s="112"/>
      <c r="AO74" s="112"/>
      <c r="AP74" s="112"/>
      <c r="AQ74" s="112"/>
      <c r="AR74" s="112"/>
      <c r="AS74" s="112"/>
      <c r="AT74" s="112"/>
    </row>
    <row r="75" spans="1:46" customFormat="1" ht="15.75">
      <c r="A75" s="41"/>
      <c r="B75" s="47"/>
      <c r="C75" s="48"/>
      <c r="D75" s="49"/>
      <c r="E75" s="165"/>
      <c r="F75" s="166"/>
      <c r="G75" s="167"/>
      <c r="H75" s="165"/>
      <c r="I75" s="166"/>
      <c r="J75" s="167"/>
      <c r="K75" s="57"/>
      <c r="L75" s="58"/>
      <c r="M75" s="58"/>
      <c r="N75" s="58"/>
      <c r="O75" s="58"/>
      <c r="P75" s="58"/>
      <c r="Q75" s="59"/>
      <c r="R75" s="75"/>
      <c r="S75" s="78"/>
      <c r="T75" s="76"/>
      <c r="U75" s="76"/>
      <c r="V75" s="76"/>
      <c r="W75" s="76"/>
      <c r="X75" s="77"/>
      <c r="Y75" s="3"/>
      <c r="Z75" s="3" t="str">
        <f t="shared" si="0"/>
        <v/>
      </c>
      <c r="AA75" s="112"/>
      <c r="AB75" s="112"/>
      <c r="AC75" s="112"/>
      <c r="AD75" s="112"/>
      <c r="AE75" s="112"/>
      <c r="AF75" s="112"/>
      <c r="AG75" s="112"/>
      <c r="AH75" s="112"/>
      <c r="AI75" s="112"/>
      <c r="AJ75" s="112"/>
      <c r="AK75" s="112"/>
      <c r="AL75" s="112"/>
      <c r="AM75" s="112"/>
      <c r="AN75" s="112"/>
      <c r="AO75" s="112"/>
      <c r="AP75" s="112"/>
      <c r="AQ75" s="112"/>
      <c r="AR75" s="112"/>
      <c r="AS75" s="112"/>
      <c r="AT75" s="112"/>
    </row>
    <row r="76" spans="1:46" customFormat="1" ht="15.75">
      <c r="A76" s="41"/>
      <c r="B76" s="47"/>
      <c r="C76" s="48"/>
      <c r="D76" s="49"/>
      <c r="E76" s="165"/>
      <c r="F76" s="166"/>
      <c r="G76" s="167"/>
      <c r="H76" s="165"/>
      <c r="I76" s="166"/>
      <c r="J76" s="167"/>
      <c r="K76" s="57"/>
      <c r="L76" s="58"/>
      <c r="M76" s="58"/>
      <c r="N76" s="58"/>
      <c r="O76" s="58"/>
      <c r="P76" s="58"/>
      <c r="Q76" s="59"/>
      <c r="R76" s="75"/>
      <c r="S76" s="78"/>
      <c r="T76" s="76"/>
      <c r="U76" s="76"/>
      <c r="V76" s="76"/>
      <c r="W76" s="76"/>
      <c r="X76" s="77"/>
      <c r="Y76" s="3"/>
      <c r="Z76" s="3" t="str">
        <f t="shared" si="0"/>
        <v/>
      </c>
      <c r="AA76" s="112"/>
      <c r="AB76" s="112"/>
      <c r="AC76" s="112"/>
      <c r="AD76" s="112"/>
      <c r="AE76" s="112"/>
      <c r="AF76" s="112"/>
      <c r="AG76" s="112"/>
      <c r="AH76" s="112"/>
      <c r="AI76" s="112"/>
      <c r="AJ76" s="112"/>
      <c r="AK76" s="112"/>
      <c r="AL76" s="112"/>
      <c r="AM76" s="112"/>
      <c r="AN76" s="112"/>
      <c r="AO76" s="112"/>
      <c r="AP76" s="112"/>
      <c r="AQ76" s="112"/>
      <c r="AR76" s="112"/>
      <c r="AS76" s="112"/>
      <c r="AT76" s="112"/>
    </row>
    <row r="77" spans="1:46" customFormat="1" ht="15.75">
      <c r="A77" s="41"/>
      <c r="B77" s="47"/>
      <c r="C77" s="48"/>
      <c r="D77" s="49"/>
      <c r="E77" s="165"/>
      <c r="F77" s="166"/>
      <c r="G77" s="167"/>
      <c r="H77" s="165"/>
      <c r="I77" s="166"/>
      <c r="J77" s="167"/>
      <c r="K77" s="57"/>
      <c r="L77" s="58"/>
      <c r="M77" s="58"/>
      <c r="N77" s="58"/>
      <c r="O77" s="58"/>
      <c r="P77" s="58"/>
      <c r="Q77" s="59"/>
      <c r="R77" s="75"/>
      <c r="S77" s="78"/>
      <c r="T77" s="76"/>
      <c r="U77" s="76"/>
      <c r="V77" s="76"/>
      <c r="W77" s="76"/>
      <c r="X77" s="77"/>
      <c r="Y77" s="3"/>
      <c r="Z77" s="3" t="str">
        <f t="shared" si="0"/>
        <v/>
      </c>
      <c r="AA77" s="112"/>
      <c r="AB77" s="112"/>
      <c r="AC77" s="112"/>
      <c r="AD77" s="112"/>
      <c r="AE77" s="112"/>
      <c r="AF77" s="112"/>
      <c r="AG77" s="112"/>
      <c r="AH77" s="112"/>
      <c r="AI77" s="112"/>
      <c r="AJ77" s="112"/>
      <c r="AK77" s="112"/>
      <c r="AL77" s="112"/>
      <c r="AM77" s="112"/>
      <c r="AN77" s="112"/>
      <c r="AO77" s="112"/>
      <c r="AP77" s="112"/>
      <c r="AQ77" s="112"/>
      <c r="AR77" s="112"/>
      <c r="AS77" s="112"/>
      <c r="AT77" s="112"/>
    </row>
    <row r="78" spans="1:46" customFormat="1" ht="15.75">
      <c r="A78" s="41"/>
      <c r="B78" s="47"/>
      <c r="C78" s="48"/>
      <c r="D78" s="49"/>
      <c r="E78" s="165"/>
      <c r="F78" s="166"/>
      <c r="G78" s="167"/>
      <c r="H78" s="165"/>
      <c r="I78" s="166"/>
      <c r="J78" s="167"/>
      <c r="K78" s="57"/>
      <c r="L78" s="58"/>
      <c r="M78" s="58"/>
      <c r="N78" s="58"/>
      <c r="O78" s="58"/>
      <c r="P78" s="58"/>
      <c r="Q78" s="59"/>
      <c r="R78" s="75"/>
      <c r="S78" s="78"/>
      <c r="T78" s="76"/>
      <c r="U78" s="76"/>
      <c r="V78" s="76"/>
      <c r="W78" s="76"/>
      <c r="X78" s="77"/>
      <c r="Y78" s="3"/>
      <c r="Z78" s="3" t="str">
        <f t="shared" si="0"/>
        <v/>
      </c>
      <c r="AA78" s="112"/>
      <c r="AB78" s="112"/>
      <c r="AC78" s="112"/>
      <c r="AD78" s="112"/>
      <c r="AE78" s="112"/>
      <c r="AF78" s="112"/>
      <c r="AG78" s="112"/>
      <c r="AH78" s="112"/>
      <c r="AI78" s="112"/>
      <c r="AJ78" s="112"/>
      <c r="AK78" s="112"/>
      <c r="AL78" s="112"/>
      <c r="AM78" s="112"/>
      <c r="AN78" s="112"/>
      <c r="AO78" s="112"/>
      <c r="AP78" s="112"/>
      <c r="AQ78" s="112"/>
      <c r="AR78" s="112"/>
      <c r="AS78" s="112"/>
      <c r="AT78" s="112"/>
    </row>
    <row r="79" spans="1:46" customFormat="1" ht="15.75">
      <c r="A79" s="41"/>
      <c r="B79" s="47"/>
      <c r="C79" s="48"/>
      <c r="D79" s="49"/>
      <c r="E79" s="165"/>
      <c r="F79" s="166"/>
      <c r="G79" s="167"/>
      <c r="H79" s="165"/>
      <c r="I79" s="166"/>
      <c r="J79" s="167"/>
      <c r="K79" s="57"/>
      <c r="L79" s="58"/>
      <c r="M79" s="58"/>
      <c r="N79" s="58"/>
      <c r="O79" s="58"/>
      <c r="P79" s="58"/>
      <c r="Q79" s="59"/>
      <c r="R79" s="75"/>
      <c r="S79" s="78"/>
      <c r="T79" s="76"/>
      <c r="U79" s="76"/>
      <c r="V79" s="76"/>
      <c r="W79" s="76"/>
      <c r="X79" s="77"/>
      <c r="Y79" s="3"/>
      <c r="Z79" s="3" t="str">
        <f t="shared" si="0"/>
        <v/>
      </c>
      <c r="AA79" s="112"/>
      <c r="AB79" s="112"/>
      <c r="AC79" s="112"/>
      <c r="AD79" s="112"/>
      <c r="AE79" s="112"/>
      <c r="AF79" s="112"/>
      <c r="AG79" s="112"/>
      <c r="AH79" s="112"/>
      <c r="AI79" s="112"/>
      <c r="AJ79" s="112"/>
      <c r="AK79" s="112"/>
      <c r="AL79" s="112"/>
      <c r="AM79" s="112"/>
      <c r="AN79" s="112"/>
      <c r="AO79" s="112"/>
      <c r="AP79" s="112"/>
      <c r="AQ79" s="112"/>
      <c r="AR79" s="112"/>
      <c r="AS79" s="112"/>
      <c r="AT79" s="112"/>
    </row>
    <row r="80" spans="1:46" customFormat="1" ht="15.75">
      <c r="A80" s="41"/>
      <c r="B80" s="47"/>
      <c r="C80" s="48"/>
      <c r="D80" s="49"/>
      <c r="E80" s="165"/>
      <c r="F80" s="166"/>
      <c r="G80" s="167"/>
      <c r="H80" s="165"/>
      <c r="I80" s="166"/>
      <c r="J80" s="167"/>
      <c r="K80" s="57"/>
      <c r="L80" s="58"/>
      <c r="M80" s="58"/>
      <c r="N80" s="58"/>
      <c r="O80" s="58"/>
      <c r="P80" s="58"/>
      <c r="Q80" s="59"/>
      <c r="R80" s="75"/>
      <c r="S80" s="78"/>
      <c r="T80" s="76"/>
      <c r="U80" s="76"/>
      <c r="V80" s="76"/>
      <c r="W80" s="76"/>
      <c r="X80" s="77"/>
      <c r="Y80" s="3"/>
      <c r="Z80" s="3" t="str">
        <f t="shared" si="0"/>
        <v/>
      </c>
      <c r="AA80" s="112"/>
      <c r="AB80" s="112"/>
      <c r="AC80" s="112"/>
      <c r="AD80" s="112"/>
      <c r="AE80" s="112"/>
      <c r="AF80" s="112"/>
      <c r="AG80" s="112"/>
      <c r="AH80" s="112"/>
      <c r="AI80" s="112"/>
      <c r="AJ80" s="112"/>
      <c r="AK80" s="112"/>
      <c r="AL80" s="112"/>
      <c r="AM80" s="112"/>
      <c r="AN80" s="112"/>
      <c r="AO80" s="112"/>
      <c r="AP80" s="112"/>
      <c r="AQ80" s="112"/>
      <c r="AR80" s="112"/>
      <c r="AS80" s="112"/>
      <c r="AT80" s="112"/>
    </row>
    <row r="81" spans="1:46" customFormat="1" ht="15.75">
      <c r="A81" s="41"/>
      <c r="B81" s="47"/>
      <c r="C81" s="48"/>
      <c r="D81" s="49"/>
      <c r="E81" s="165"/>
      <c r="F81" s="166"/>
      <c r="G81" s="167"/>
      <c r="H81" s="165"/>
      <c r="I81" s="166"/>
      <c r="J81" s="167"/>
      <c r="K81" s="57"/>
      <c r="L81" s="58"/>
      <c r="M81" s="58"/>
      <c r="N81" s="58"/>
      <c r="O81" s="58"/>
      <c r="P81" s="58"/>
      <c r="Q81" s="59"/>
      <c r="R81" s="75"/>
      <c r="S81" s="78"/>
      <c r="T81" s="76"/>
      <c r="U81" s="76"/>
      <c r="V81" s="76"/>
      <c r="W81" s="76"/>
      <c r="X81" s="77"/>
      <c r="Y81" s="3"/>
      <c r="Z81" s="3" t="str">
        <f t="shared" si="0"/>
        <v/>
      </c>
      <c r="AA81" s="112"/>
      <c r="AB81" s="112"/>
      <c r="AC81" s="112"/>
      <c r="AD81" s="112"/>
      <c r="AE81" s="112"/>
      <c r="AF81" s="112"/>
      <c r="AG81" s="112"/>
      <c r="AH81" s="112"/>
      <c r="AI81" s="112"/>
      <c r="AJ81" s="112"/>
      <c r="AK81" s="112"/>
      <c r="AL81" s="112"/>
      <c r="AM81" s="112"/>
      <c r="AN81" s="112"/>
      <c r="AO81" s="112"/>
      <c r="AP81" s="112"/>
      <c r="AQ81" s="112"/>
      <c r="AR81" s="112"/>
      <c r="AS81" s="112"/>
      <c r="AT81" s="112"/>
    </row>
    <row r="82" spans="1:46" customFormat="1" ht="15.75">
      <c r="A82" s="41"/>
      <c r="B82" s="47"/>
      <c r="C82" s="48"/>
      <c r="D82" s="49"/>
      <c r="E82" s="165"/>
      <c r="F82" s="166"/>
      <c r="G82" s="167"/>
      <c r="H82" s="165"/>
      <c r="I82" s="166"/>
      <c r="J82" s="167"/>
      <c r="K82" s="57"/>
      <c r="L82" s="58"/>
      <c r="M82" s="58"/>
      <c r="N82" s="58"/>
      <c r="O82" s="58"/>
      <c r="P82" s="58"/>
      <c r="Q82" s="59"/>
      <c r="R82" s="75"/>
      <c r="S82" s="78"/>
      <c r="T82" s="76"/>
      <c r="U82" s="76"/>
      <c r="V82" s="76"/>
      <c r="W82" s="76"/>
      <c r="X82" s="77"/>
      <c r="Y82" s="3"/>
      <c r="Z82" s="3" t="str">
        <f t="shared" si="0"/>
        <v/>
      </c>
      <c r="AA82" s="112"/>
      <c r="AB82" s="112"/>
      <c r="AC82" s="112"/>
      <c r="AD82" s="112"/>
      <c r="AE82" s="112"/>
      <c r="AF82" s="112"/>
      <c r="AG82" s="112"/>
      <c r="AH82" s="112"/>
      <c r="AI82" s="112"/>
      <c r="AJ82" s="112"/>
      <c r="AK82" s="112"/>
      <c r="AL82" s="112"/>
      <c r="AM82" s="112"/>
      <c r="AN82" s="112"/>
      <c r="AO82" s="112"/>
      <c r="AP82" s="112"/>
      <c r="AQ82" s="112"/>
      <c r="AR82" s="112"/>
      <c r="AS82" s="112"/>
      <c r="AT82" s="112"/>
    </row>
    <row r="83" spans="1:46" customFormat="1" ht="15.75">
      <c r="A83" s="41"/>
      <c r="B83" s="47"/>
      <c r="C83" s="48"/>
      <c r="D83" s="49"/>
      <c r="E83" s="165"/>
      <c r="F83" s="166"/>
      <c r="G83" s="167"/>
      <c r="H83" s="165"/>
      <c r="I83" s="166"/>
      <c r="J83" s="167"/>
      <c r="K83" s="57"/>
      <c r="L83" s="58"/>
      <c r="M83" s="58"/>
      <c r="N83" s="58"/>
      <c r="O83" s="58"/>
      <c r="P83" s="58"/>
      <c r="Q83" s="59"/>
      <c r="R83" s="75"/>
      <c r="S83" s="76"/>
      <c r="T83" s="76"/>
      <c r="U83" s="76"/>
      <c r="V83" s="76"/>
      <c r="W83" s="76"/>
      <c r="X83" s="77"/>
      <c r="Y83" s="3"/>
      <c r="Z83" s="3" t="str">
        <f t="shared" si="0"/>
        <v/>
      </c>
      <c r="AA83" s="112"/>
      <c r="AB83" s="112"/>
      <c r="AC83" s="112"/>
      <c r="AD83" s="112"/>
      <c r="AE83" s="112"/>
      <c r="AF83" s="112"/>
      <c r="AG83" s="112"/>
      <c r="AH83" s="112"/>
      <c r="AI83" s="112"/>
      <c r="AJ83" s="112"/>
      <c r="AK83" s="112"/>
      <c r="AL83" s="112"/>
      <c r="AM83" s="112"/>
      <c r="AN83" s="112"/>
      <c r="AO83" s="112"/>
      <c r="AP83" s="112"/>
      <c r="AQ83" s="112"/>
      <c r="AR83" s="112"/>
      <c r="AS83" s="112"/>
      <c r="AT83" s="112"/>
    </row>
    <row r="84" spans="1:46" customFormat="1" ht="15.75">
      <c r="A84" s="41"/>
      <c r="B84" s="47"/>
      <c r="C84" s="48"/>
      <c r="D84" s="49"/>
      <c r="E84" s="165"/>
      <c r="F84" s="166"/>
      <c r="G84" s="167"/>
      <c r="H84" s="165"/>
      <c r="I84" s="166"/>
      <c r="J84" s="167"/>
      <c r="K84" s="57"/>
      <c r="L84" s="58"/>
      <c r="M84" s="58"/>
      <c r="N84" s="58"/>
      <c r="O84" s="58"/>
      <c r="P84" s="58"/>
      <c r="Q84" s="59"/>
      <c r="R84" s="75"/>
      <c r="S84" s="76"/>
      <c r="T84" s="76"/>
      <c r="U84" s="76"/>
      <c r="V84" s="76"/>
      <c r="W84" s="76"/>
      <c r="X84" s="77"/>
      <c r="Y84" s="3"/>
      <c r="Z84" s="3" t="str">
        <f t="shared" si="0"/>
        <v/>
      </c>
      <c r="AA84" s="112"/>
      <c r="AB84" s="112"/>
      <c r="AC84" s="112"/>
      <c r="AD84" s="112"/>
      <c r="AE84" s="112"/>
      <c r="AF84" s="112"/>
      <c r="AG84" s="112"/>
      <c r="AH84" s="112"/>
      <c r="AI84" s="112"/>
      <c r="AJ84" s="112"/>
      <c r="AK84" s="112"/>
      <c r="AL84" s="112"/>
      <c r="AM84" s="112"/>
      <c r="AN84" s="112"/>
      <c r="AO84" s="112"/>
      <c r="AP84" s="112"/>
      <c r="AQ84" s="112"/>
      <c r="AR84" s="112"/>
      <c r="AS84" s="112"/>
      <c r="AT84" s="112"/>
    </row>
    <row r="85" spans="1:46" customFormat="1" ht="15.75">
      <c r="A85" s="41"/>
      <c r="B85" s="47"/>
      <c r="C85" s="48"/>
      <c r="D85" s="49"/>
      <c r="E85" s="165"/>
      <c r="F85" s="166"/>
      <c r="G85" s="167"/>
      <c r="H85" s="165"/>
      <c r="I85" s="166"/>
      <c r="J85" s="167"/>
      <c r="K85" s="57"/>
      <c r="L85" s="58"/>
      <c r="M85" s="58"/>
      <c r="N85" s="58"/>
      <c r="O85" s="58"/>
      <c r="P85" s="58"/>
      <c r="Q85" s="59"/>
      <c r="R85" s="75"/>
      <c r="S85" s="76"/>
      <c r="T85" s="76"/>
      <c r="U85" s="76"/>
      <c r="V85" s="76"/>
      <c r="W85" s="76"/>
      <c r="X85" s="77"/>
      <c r="Y85" s="3"/>
      <c r="Z85" s="3" t="str">
        <f t="shared" si="0"/>
        <v/>
      </c>
      <c r="AA85" s="112"/>
      <c r="AB85" s="112"/>
      <c r="AC85" s="112"/>
      <c r="AD85" s="112"/>
      <c r="AE85" s="112"/>
      <c r="AF85" s="112"/>
      <c r="AG85" s="112"/>
      <c r="AH85" s="112"/>
      <c r="AI85" s="112"/>
      <c r="AJ85" s="112"/>
      <c r="AK85" s="112"/>
      <c r="AL85" s="112"/>
      <c r="AM85" s="112"/>
      <c r="AN85" s="112"/>
      <c r="AO85" s="112"/>
      <c r="AP85" s="112"/>
      <c r="AQ85" s="112"/>
      <c r="AR85" s="112"/>
      <c r="AS85" s="112"/>
      <c r="AT85" s="112"/>
    </row>
    <row r="86" spans="1:46" customFormat="1" ht="15.75">
      <c r="A86" s="41"/>
      <c r="B86" s="47"/>
      <c r="C86" s="48"/>
      <c r="D86" s="49"/>
      <c r="E86" s="165"/>
      <c r="F86" s="166"/>
      <c r="G86" s="167"/>
      <c r="H86" s="165"/>
      <c r="I86" s="166"/>
      <c r="J86" s="167"/>
      <c r="K86" s="57"/>
      <c r="L86" s="58"/>
      <c r="M86" s="58"/>
      <c r="N86" s="58"/>
      <c r="O86" s="58"/>
      <c r="P86" s="58"/>
      <c r="Q86" s="59"/>
      <c r="R86" s="75"/>
      <c r="S86" s="76"/>
      <c r="T86" s="76"/>
      <c r="U86" s="76"/>
      <c r="V86" s="76"/>
      <c r="W86" s="76"/>
      <c r="X86" s="77"/>
      <c r="Y86" s="3"/>
      <c r="Z86" s="3" t="str">
        <f t="shared" si="0"/>
        <v/>
      </c>
      <c r="AA86" s="112"/>
      <c r="AB86" s="112"/>
      <c r="AC86" s="112"/>
      <c r="AD86" s="112"/>
      <c r="AE86" s="112"/>
      <c r="AF86" s="112"/>
      <c r="AG86" s="112"/>
      <c r="AH86" s="112"/>
      <c r="AI86" s="112"/>
      <c r="AJ86" s="112"/>
      <c r="AK86" s="112"/>
      <c r="AL86" s="112"/>
      <c r="AM86" s="112"/>
      <c r="AN86" s="112"/>
      <c r="AO86" s="112"/>
      <c r="AP86" s="112"/>
      <c r="AQ86" s="112"/>
      <c r="AR86" s="112"/>
      <c r="AS86" s="112"/>
      <c r="AT86" s="112"/>
    </row>
    <row r="87" spans="1:46" customFormat="1" ht="15.75">
      <c r="A87" s="41"/>
      <c r="B87" s="47"/>
      <c r="C87" s="48"/>
      <c r="D87" s="49"/>
      <c r="E87" s="165"/>
      <c r="F87" s="166"/>
      <c r="G87" s="167"/>
      <c r="H87" s="165"/>
      <c r="I87" s="166"/>
      <c r="J87" s="167"/>
      <c r="K87" s="57"/>
      <c r="L87" s="58"/>
      <c r="M87" s="58"/>
      <c r="N87" s="58"/>
      <c r="O87" s="58"/>
      <c r="P87" s="58"/>
      <c r="Q87" s="59"/>
      <c r="R87" s="75"/>
      <c r="S87" s="76"/>
      <c r="T87" s="76"/>
      <c r="U87" s="76"/>
      <c r="V87" s="76"/>
      <c r="W87" s="76"/>
      <c r="X87" s="77"/>
      <c r="Y87" s="3"/>
      <c r="Z87" s="3" t="str">
        <f t="shared" si="0"/>
        <v/>
      </c>
      <c r="AA87" s="112"/>
      <c r="AB87" s="112"/>
      <c r="AC87" s="112"/>
      <c r="AD87" s="112"/>
      <c r="AE87" s="112"/>
      <c r="AF87" s="112"/>
      <c r="AG87" s="112"/>
      <c r="AH87" s="112"/>
      <c r="AI87" s="112"/>
      <c r="AJ87" s="112"/>
      <c r="AK87" s="112"/>
      <c r="AL87" s="112"/>
      <c r="AM87" s="112"/>
      <c r="AN87" s="112"/>
      <c r="AO87" s="112"/>
      <c r="AP87" s="112"/>
      <c r="AQ87" s="112"/>
      <c r="AR87" s="112"/>
      <c r="AS87" s="112"/>
      <c r="AT87" s="112"/>
    </row>
    <row r="88" spans="1:46" customFormat="1" ht="15.75">
      <c r="A88" s="41"/>
      <c r="B88" s="47"/>
      <c r="C88" s="48"/>
      <c r="D88" s="49"/>
      <c r="E88" s="165"/>
      <c r="F88" s="166"/>
      <c r="G88" s="167"/>
      <c r="H88" s="165"/>
      <c r="I88" s="166"/>
      <c r="J88" s="167"/>
      <c r="K88" s="57"/>
      <c r="L88" s="58"/>
      <c r="M88" s="58"/>
      <c r="N88" s="58"/>
      <c r="O88" s="58"/>
      <c r="P88" s="58"/>
      <c r="Q88" s="59"/>
      <c r="R88" s="75"/>
      <c r="S88" s="76"/>
      <c r="T88" s="76"/>
      <c r="U88" s="76"/>
      <c r="V88" s="76"/>
      <c r="W88" s="76"/>
      <c r="X88" s="77"/>
      <c r="Y88" s="3"/>
      <c r="Z88" s="3" t="str">
        <f t="shared" si="0"/>
        <v/>
      </c>
      <c r="AA88" s="112"/>
      <c r="AB88" s="112"/>
      <c r="AC88" s="112"/>
      <c r="AD88" s="112"/>
      <c r="AE88" s="112"/>
      <c r="AF88" s="112"/>
      <c r="AG88" s="112"/>
      <c r="AH88" s="112"/>
      <c r="AI88" s="112"/>
      <c r="AJ88" s="112"/>
      <c r="AK88" s="112"/>
      <c r="AL88" s="112"/>
      <c r="AM88" s="112"/>
      <c r="AN88" s="112"/>
      <c r="AO88" s="112"/>
      <c r="AP88" s="112"/>
      <c r="AQ88" s="112"/>
      <c r="AR88" s="112"/>
      <c r="AS88" s="112"/>
      <c r="AT88" s="112"/>
    </row>
    <row r="89" spans="1:46" customFormat="1" ht="15.75">
      <c r="A89" s="41"/>
      <c r="B89" s="47"/>
      <c r="C89" s="48"/>
      <c r="D89" s="49"/>
      <c r="E89" s="165"/>
      <c r="F89" s="166"/>
      <c r="G89" s="167"/>
      <c r="H89" s="165"/>
      <c r="I89" s="166"/>
      <c r="J89" s="167"/>
      <c r="K89" s="57"/>
      <c r="L89" s="58"/>
      <c r="M89" s="58"/>
      <c r="N89" s="58"/>
      <c r="O89" s="58"/>
      <c r="P89" s="58"/>
      <c r="Q89" s="59"/>
      <c r="R89" s="75"/>
      <c r="S89" s="76"/>
      <c r="T89" s="76"/>
      <c r="U89" s="76"/>
      <c r="V89" s="76"/>
      <c r="W89" s="76"/>
      <c r="X89" s="77"/>
      <c r="Y89" s="3"/>
      <c r="Z89" s="3" t="str">
        <f t="shared" si="0"/>
        <v/>
      </c>
      <c r="AA89" s="112"/>
      <c r="AB89" s="112"/>
      <c r="AC89" s="112"/>
      <c r="AD89" s="112"/>
      <c r="AE89" s="112"/>
      <c r="AF89" s="112"/>
      <c r="AG89" s="112"/>
      <c r="AH89" s="112"/>
      <c r="AI89" s="112"/>
      <c r="AJ89" s="112"/>
      <c r="AK89" s="112"/>
      <c r="AL89" s="112"/>
      <c r="AM89" s="112"/>
      <c r="AN89" s="112"/>
      <c r="AO89" s="112"/>
      <c r="AP89" s="112"/>
      <c r="AQ89" s="112"/>
      <c r="AR89" s="112"/>
      <c r="AS89" s="112"/>
      <c r="AT89" s="112"/>
    </row>
    <row r="90" spans="1:46" customFormat="1" ht="15.75">
      <c r="A90" s="41"/>
      <c r="B90" s="51"/>
      <c r="C90" s="52"/>
      <c r="D90" s="53"/>
      <c r="E90" s="168"/>
      <c r="F90" s="169"/>
      <c r="G90" s="170"/>
      <c r="H90" s="168"/>
      <c r="I90" s="169"/>
      <c r="J90" s="170"/>
      <c r="K90" s="60"/>
      <c r="L90" s="61"/>
      <c r="M90" s="61"/>
      <c r="N90" s="61"/>
      <c r="O90" s="61"/>
      <c r="P90" s="61"/>
      <c r="Q90" s="62"/>
      <c r="R90" s="79"/>
      <c r="S90" s="80"/>
      <c r="T90" s="80"/>
      <c r="U90" s="80"/>
      <c r="V90" s="80"/>
      <c r="W90" s="80"/>
      <c r="X90" s="81"/>
      <c r="Y90" s="3"/>
      <c r="Z90" s="3" t="str">
        <f t="shared" si="0"/>
        <v/>
      </c>
      <c r="AA90" s="112"/>
      <c r="AB90" s="112"/>
      <c r="AC90" s="112"/>
      <c r="AD90" s="112"/>
      <c r="AE90" s="112"/>
      <c r="AF90" s="112"/>
      <c r="AG90" s="112"/>
      <c r="AH90" s="112"/>
      <c r="AI90" s="112"/>
      <c r="AJ90" s="112"/>
      <c r="AK90" s="112"/>
      <c r="AL90" s="112"/>
      <c r="AM90" s="112"/>
      <c r="AN90" s="112"/>
      <c r="AO90" s="112"/>
      <c r="AP90" s="112"/>
      <c r="AQ90" s="112"/>
      <c r="AR90" s="112"/>
      <c r="AS90" s="112"/>
      <c r="AT90" s="112"/>
    </row>
    <row r="91" spans="1:46" ht="15.75">
      <c r="R91" s="35"/>
      <c r="S91" s="36"/>
      <c r="T91" s="36"/>
      <c r="U91" s="36"/>
      <c r="V91" s="36"/>
      <c r="W91" s="36"/>
      <c r="X91" s="36"/>
      <c r="Y91" s="36"/>
      <c r="Z91" s="36"/>
    </row>
  </sheetData>
  <mergeCells count="15">
    <mergeCell ref="B45:C45"/>
    <mergeCell ref="B46:C46"/>
    <mergeCell ref="E45:G45"/>
    <mergeCell ref="E44:J44"/>
    <mergeCell ref="F46:G46"/>
    <mergeCell ref="AA40:AJ40"/>
    <mergeCell ref="D27:E27"/>
    <mergeCell ref="D28:E28"/>
    <mergeCell ref="D29:E29"/>
    <mergeCell ref="D30:E30"/>
    <mergeCell ref="O46:Q46"/>
    <mergeCell ref="K46:M46"/>
    <mergeCell ref="H45:I45"/>
    <mergeCell ref="H46:I46"/>
    <mergeCell ref="D26:E26"/>
  </mergeCells>
  <dataValidations count="1">
    <dataValidation type="list" allowBlank="1" showInputMessage="1" showErrorMessage="1" sqref="J2">
      <formula1>$K$2:$K$5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Sheet1.ExportDatatoXML">
                <anchor moveWithCells="1" sizeWithCells="1">
                  <from>
                    <xdr:col>6</xdr:col>
                    <xdr:colOff>333375</xdr:colOff>
                    <xdr:row>5</xdr:row>
                    <xdr:rowOff>123825</xdr:rowOff>
                  </from>
                  <to>
                    <xdr:col>8</xdr:col>
                    <xdr:colOff>85725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Check Box 19">
              <controlPr locked="0" defaultSize="0" autoFill="0" autoLine="0" autoPict="0">
                <anchor moveWithCells="1">
                  <from>
                    <xdr:col>3</xdr:col>
                    <xdr:colOff>180975</xdr:colOff>
                    <xdr:row>8</xdr:row>
                    <xdr:rowOff>57150</xdr:rowOff>
                  </from>
                  <to>
                    <xdr:col>4</xdr:col>
                    <xdr:colOff>1323975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Vocabularies!$O$24:$O$25</xm:f>
          </x14:formula1>
          <xm:sqref>S46</xm:sqref>
        </x14:dataValidation>
        <x14:dataValidation type="list" allowBlank="1" showInputMessage="1" showErrorMessage="1">
          <x14:formula1>
            <xm:f>Vocabularies!$A$4:$A$39</xm:f>
          </x14:formula1>
          <xm:sqref>A4</xm:sqref>
        </x14:dataValidation>
        <x14:dataValidation type="list" allowBlank="1" showInputMessage="1" showErrorMessage="1">
          <x14:formula1>
            <xm:f>Vocabularies!$D$4:$D$268</xm:f>
          </x14:formula1>
          <xm:sqref>A2</xm:sqref>
        </x14:dataValidation>
        <x14:dataValidation type="list" allowBlank="1" showInputMessage="1" showErrorMessage="1">
          <x14:formula1>
            <xm:f>Vocabularies!$F$4:$F$5</xm:f>
          </x14:formula1>
          <xm:sqref>D45</xm:sqref>
        </x14:dataValidation>
        <x14:dataValidation type="list" allowBlank="1" showInputMessage="1" showErrorMessage="1">
          <x14:formula1>
            <xm:f>Vocabularies!$F$11:$F$17</xm:f>
          </x14:formula1>
          <xm:sqref>B36</xm:sqref>
        </x14:dataValidation>
        <x14:dataValidation type="list" allowBlank="1" showInputMessage="1" showErrorMessage="1">
          <x14:formula1>
            <xm:f>Vocabularies!$F$21:$F$25</xm:f>
          </x14:formula1>
          <xm:sqref>B4</xm:sqref>
        </x14:dataValidation>
        <x14:dataValidation type="list" allowBlank="1" showInputMessage="1" showErrorMessage="1">
          <x14:formula1>
            <xm:f>Vocabularies!$F$31:$F$41</xm:f>
          </x14:formula1>
          <xm:sqref>B2</xm:sqref>
        </x14:dataValidation>
        <x14:dataValidation type="list" allowBlank="1" showInputMessage="1" showErrorMessage="1">
          <x14:formula1>
            <xm:f>Vocabularies!$I$17:$I$21</xm:f>
          </x14:formula1>
          <xm:sqref>C2</xm:sqref>
        </x14:dataValidation>
        <x14:dataValidation type="list" allowBlank="1" showInputMessage="1" showErrorMessage="1">
          <x14:formula1>
            <xm:f>Vocabularies!$K$4:$K$26</xm:f>
          </x14:formula1>
          <xm:sqref>C4</xm:sqref>
        </x14:dataValidation>
        <x14:dataValidation type="list" allowBlank="1" showInputMessage="1" showErrorMessage="1">
          <x14:formula1>
            <xm:f>Vocabularies!$O$18:$O$23</xm:f>
          </x14:formula1>
          <xm:sqref>N46</xm:sqref>
        </x14:dataValidation>
        <x14:dataValidation type="list" allowBlank="1" showInputMessage="1" showErrorMessage="1">
          <x14:formula1>
            <xm:f>Vocabularies!$O$15:$O$23</xm:f>
          </x14:formula1>
          <xm:sqref>D46</xm:sqref>
        </x14:dataValidation>
        <x14:dataValidation type="list" allowBlank="1" showInputMessage="1" showErrorMessage="1">
          <x14:formula1>
            <xm:f>Vocabularies!$O$4:$O$23</xm:f>
          </x14:formula1>
          <xm:sqref>J46</xm:sqref>
        </x14:dataValidation>
        <x14:dataValidation type="list" allowBlank="1" showInputMessage="1" showErrorMessage="1">
          <x14:formula1>
            <xm:f>Vocabularies!$O$4:$O$41</xm:f>
          </x14:formula1>
          <xm:sqref>AA47:AT47</xm:sqref>
        </x14:dataValidation>
        <x14:dataValidation type="list" allowBlank="1" showInputMessage="1" showErrorMessage="1">
          <x14:formula1>
            <xm:f>Vocabularies!$I$27:$I$32</xm:f>
          </x14:formula1>
          <xm:sqref>S45</xm:sqref>
        </x14:dataValidation>
        <x14:dataValidation type="list" allowBlank="1" showInputMessage="1" showErrorMessage="1">
          <x14:formula1>
            <xm:f>Vocabularies!$I$4:$I$11</xm:f>
          </x14:formula1>
          <xm:sqref>J45</xm:sqref>
        </x14:dataValidation>
        <x14:dataValidation type="list" allowBlank="1" showInputMessage="1" showErrorMessage="1">
          <x14:formula1>
            <xm:f>Vocabularies!$K$32:$K$38</xm:f>
          </x14:formula1>
          <xm:sqref>AA46:AT46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T291"/>
  <sheetViews>
    <sheetView zoomScale="85" zoomScaleNormal="85" workbookViewId="0">
      <selection activeCell="F4" sqref="F4"/>
    </sheetView>
  </sheetViews>
  <sheetFormatPr defaultColWidth="8.85546875" defaultRowHeight="15"/>
  <cols>
    <col min="1" max="1" width="14.140625" style="154" customWidth="1"/>
    <col min="2" max="2" width="102.85546875" style="153" customWidth="1"/>
    <col min="3" max="3" width="10.85546875" style="11" customWidth="1"/>
    <col min="4" max="4" width="18.28515625" style="11" customWidth="1"/>
    <col min="5" max="5" width="10.7109375" style="11" customWidth="1"/>
    <col min="6" max="6" width="19.42578125" style="11" customWidth="1"/>
    <col min="7" max="7" width="10.7109375" style="11" customWidth="1"/>
    <col min="8" max="8" width="20.140625" style="11" bestFit="1" customWidth="1"/>
    <col min="9" max="9" width="50.5703125" style="11" bestFit="1" customWidth="1"/>
    <col min="10" max="10" width="10.7109375" style="11" customWidth="1"/>
    <col min="11" max="11" width="29.28515625" style="11" bestFit="1" customWidth="1"/>
    <col min="12" max="12" width="88.42578125" style="11" customWidth="1"/>
    <col min="13" max="13" width="10.85546875" style="11" customWidth="1"/>
    <col min="14" max="14" width="14.85546875" style="11" customWidth="1"/>
    <col min="15" max="15" width="43.85546875" style="11" customWidth="1"/>
    <col min="16" max="16" width="10.85546875" style="11" customWidth="1"/>
    <col min="17" max="16384" width="8.85546875" style="11"/>
  </cols>
  <sheetData>
    <row r="1" spans="1:15">
      <c r="D1" s="154"/>
      <c r="E1" s="153"/>
      <c r="G1" s="154"/>
      <c r="H1" s="153"/>
      <c r="J1" s="154"/>
      <c r="K1" s="153"/>
      <c r="M1" s="154"/>
      <c r="N1" s="153"/>
    </row>
    <row r="2" spans="1:15">
      <c r="A2" s="149" t="s">
        <v>465</v>
      </c>
      <c r="D2" s="17" t="s">
        <v>32</v>
      </c>
      <c r="H2" s="17" t="s">
        <v>619</v>
      </c>
      <c r="K2" s="17" t="s">
        <v>443</v>
      </c>
      <c r="N2" s="17" t="s">
        <v>583</v>
      </c>
    </row>
    <row r="3" spans="1:15">
      <c r="A3" s="150" t="s">
        <v>77</v>
      </c>
      <c r="B3" s="150" t="s">
        <v>78</v>
      </c>
      <c r="D3" s="137" t="s">
        <v>62</v>
      </c>
      <c r="E3"/>
      <c r="F3" s="116" t="s">
        <v>3</v>
      </c>
      <c r="G3" s="13"/>
      <c r="H3" s="137" t="s">
        <v>83</v>
      </c>
      <c r="I3" s="137"/>
      <c r="K3" s="137" t="s">
        <v>380</v>
      </c>
      <c r="L3" s="137" t="s">
        <v>577</v>
      </c>
      <c r="N3" s="137" t="s">
        <v>76</v>
      </c>
      <c r="O3" s="137"/>
    </row>
    <row r="4" spans="1:15">
      <c r="A4" s="151">
        <v>1</v>
      </c>
      <c r="B4" s="155" t="s">
        <v>466</v>
      </c>
      <c r="D4" s="144" t="s">
        <v>141</v>
      </c>
      <c r="E4" s="143"/>
      <c r="F4" s="138" t="s">
        <v>3</v>
      </c>
      <c r="G4" s="2"/>
      <c r="H4" s="140" t="s">
        <v>4</v>
      </c>
      <c r="I4" s="140" t="s">
        <v>505</v>
      </c>
      <c r="K4" s="138" t="s">
        <v>437</v>
      </c>
      <c r="L4" s="139" t="s">
        <v>578</v>
      </c>
      <c r="N4" s="138" t="s">
        <v>529</v>
      </c>
      <c r="O4" s="139" t="s">
        <v>530</v>
      </c>
    </row>
    <row r="5" spans="1:15">
      <c r="A5" s="152">
        <v>1.2</v>
      </c>
      <c r="B5" s="156" t="s">
        <v>467</v>
      </c>
      <c r="D5" s="145" t="s">
        <v>142</v>
      </c>
      <c r="E5" s="143"/>
      <c r="F5" s="140" t="s">
        <v>102</v>
      </c>
      <c r="G5" s="2"/>
      <c r="H5" s="138" t="s">
        <v>67</v>
      </c>
      <c r="I5" s="138" t="s">
        <v>612</v>
      </c>
      <c r="K5" s="140" t="s">
        <v>385</v>
      </c>
      <c r="L5" s="141" t="s">
        <v>433</v>
      </c>
      <c r="N5" s="140" t="s">
        <v>531</v>
      </c>
      <c r="O5" s="141" t="s">
        <v>532</v>
      </c>
    </row>
    <row r="6" spans="1:15">
      <c r="A6" s="151">
        <v>1.5</v>
      </c>
      <c r="B6" s="155" t="s">
        <v>468</v>
      </c>
      <c r="D6" s="144" t="s">
        <v>144</v>
      </c>
      <c r="E6" s="143"/>
      <c r="G6" s="2"/>
      <c r="H6" s="140" t="s">
        <v>607</v>
      </c>
      <c r="I6" s="140" t="s">
        <v>613</v>
      </c>
      <c r="K6" s="138" t="s">
        <v>386</v>
      </c>
      <c r="L6" s="139" t="s">
        <v>579</v>
      </c>
      <c r="N6" s="138" t="s">
        <v>410</v>
      </c>
      <c r="O6" s="139" t="s">
        <v>533</v>
      </c>
    </row>
    <row r="7" spans="1:15">
      <c r="A7" s="152">
        <v>1.6</v>
      </c>
      <c r="B7" s="156" t="s">
        <v>469</v>
      </c>
      <c r="D7" s="145" t="s">
        <v>145</v>
      </c>
      <c r="E7" s="143"/>
      <c r="F7" s="2"/>
      <c r="G7" s="2"/>
      <c r="H7" s="138" t="s">
        <v>608</v>
      </c>
      <c r="I7" s="138" t="s">
        <v>119</v>
      </c>
      <c r="K7" s="140" t="s">
        <v>387</v>
      </c>
      <c r="L7" s="141" t="s">
        <v>419</v>
      </c>
      <c r="N7" s="140" t="s">
        <v>411</v>
      </c>
      <c r="O7" s="141" t="s">
        <v>594</v>
      </c>
    </row>
    <row r="8" spans="1:15">
      <c r="A8" s="151">
        <v>1.7</v>
      </c>
      <c r="B8" s="155" t="s">
        <v>470</v>
      </c>
      <c r="D8" s="144" t="s">
        <v>146</v>
      </c>
      <c r="E8" s="143"/>
      <c r="G8" s="2"/>
      <c r="H8" s="140" t="s">
        <v>609</v>
      </c>
      <c r="I8" s="140" t="s">
        <v>102</v>
      </c>
      <c r="K8" s="138" t="s">
        <v>388</v>
      </c>
      <c r="L8" s="139" t="s">
        <v>420</v>
      </c>
      <c r="N8" s="138" t="s">
        <v>534</v>
      </c>
      <c r="O8" s="139" t="s">
        <v>535</v>
      </c>
    </row>
    <row r="9" spans="1:15">
      <c r="A9" s="152">
        <v>1.8</v>
      </c>
      <c r="B9" s="156" t="s">
        <v>471</v>
      </c>
      <c r="D9" s="145" t="s">
        <v>147</v>
      </c>
      <c r="E9" s="143"/>
      <c r="G9" s="2"/>
      <c r="H9" s="138" t="s">
        <v>610</v>
      </c>
      <c r="I9" s="138" t="s">
        <v>103</v>
      </c>
      <c r="K9" s="140" t="s">
        <v>389</v>
      </c>
      <c r="L9" s="141" t="s">
        <v>422</v>
      </c>
      <c r="N9" s="140" t="s">
        <v>412</v>
      </c>
      <c r="O9" s="141" t="s">
        <v>536</v>
      </c>
    </row>
    <row r="10" spans="1:15">
      <c r="A10" s="151">
        <v>2</v>
      </c>
      <c r="B10" s="155" t="s">
        <v>575</v>
      </c>
      <c r="D10" s="144" t="s">
        <v>446</v>
      </c>
      <c r="E10" s="143"/>
      <c r="F10" s="116" t="s">
        <v>576</v>
      </c>
      <c r="G10" s="2"/>
      <c r="H10" s="140" t="s">
        <v>611</v>
      </c>
      <c r="I10" s="140" t="s">
        <v>107</v>
      </c>
      <c r="K10" s="138" t="s">
        <v>438</v>
      </c>
      <c r="L10" s="139" t="s">
        <v>423</v>
      </c>
      <c r="N10" s="138" t="s">
        <v>118</v>
      </c>
      <c r="O10" s="139" t="s">
        <v>537</v>
      </c>
    </row>
    <row r="11" spans="1:15">
      <c r="A11" s="152">
        <v>2.11</v>
      </c>
      <c r="B11" s="156" t="s">
        <v>472</v>
      </c>
      <c r="D11" s="145" t="s">
        <v>143</v>
      </c>
      <c r="E11" s="143"/>
      <c r="F11" s="144" t="s">
        <v>84</v>
      </c>
      <c r="G11" s="2"/>
      <c r="H11" s="138" t="s">
        <v>383</v>
      </c>
      <c r="I11" s="138" t="s">
        <v>120</v>
      </c>
      <c r="K11" s="140" t="s">
        <v>390</v>
      </c>
      <c r="L11" s="141" t="s">
        <v>424</v>
      </c>
      <c r="N11" s="140" t="s">
        <v>414</v>
      </c>
      <c r="O11" s="141" t="s">
        <v>545</v>
      </c>
    </row>
    <row r="12" spans="1:15">
      <c r="A12" s="151">
        <v>2.12</v>
      </c>
      <c r="B12" s="155" t="s">
        <v>473</v>
      </c>
      <c r="D12" s="144" t="s">
        <v>149</v>
      </c>
      <c r="E12" s="143"/>
      <c r="F12" s="145" t="s">
        <v>85</v>
      </c>
      <c r="G12" s="2"/>
      <c r="H12" s="2"/>
      <c r="I12" s="2"/>
      <c r="K12" s="138" t="s">
        <v>435</v>
      </c>
      <c r="L12" s="139" t="s">
        <v>436</v>
      </c>
      <c r="N12" s="138" t="s">
        <v>547</v>
      </c>
      <c r="O12" s="139" t="s">
        <v>548</v>
      </c>
    </row>
    <row r="13" spans="1:15">
      <c r="A13" s="152">
        <v>2.13</v>
      </c>
      <c r="B13" s="156" t="s">
        <v>474</v>
      </c>
      <c r="D13" s="145" t="s">
        <v>151</v>
      </c>
      <c r="E13" s="143"/>
      <c r="F13" s="138" t="s">
        <v>63</v>
      </c>
      <c r="G13" s="2"/>
      <c r="H13" s="2"/>
      <c r="I13" s="2"/>
      <c r="J13" s="2"/>
      <c r="K13" s="140" t="s">
        <v>383</v>
      </c>
      <c r="L13" s="141" t="s">
        <v>580</v>
      </c>
      <c r="N13" s="140" t="s">
        <v>413</v>
      </c>
      <c r="O13" s="141" t="s">
        <v>550</v>
      </c>
    </row>
    <row r="14" spans="1:15">
      <c r="A14" s="151">
        <v>3</v>
      </c>
      <c r="B14" s="155" t="s">
        <v>475</v>
      </c>
      <c r="D14" s="144" t="s">
        <v>150</v>
      </c>
      <c r="E14" s="143"/>
      <c r="F14" s="140" t="s">
        <v>64</v>
      </c>
      <c r="H14"/>
      <c r="J14"/>
      <c r="K14" s="138" t="s">
        <v>391</v>
      </c>
      <c r="L14" s="139" t="s">
        <v>416</v>
      </c>
      <c r="N14" s="138" t="s">
        <v>541</v>
      </c>
      <c r="O14" s="139" t="s">
        <v>542</v>
      </c>
    </row>
    <row r="15" spans="1:15">
      <c r="A15" s="152">
        <v>3.1</v>
      </c>
      <c r="B15" s="156" t="s">
        <v>476</v>
      </c>
      <c r="D15" s="145" t="s">
        <v>152</v>
      </c>
      <c r="E15" s="143"/>
      <c r="F15" s="138" t="s">
        <v>628</v>
      </c>
      <c r="H15" s="17" t="s">
        <v>589</v>
      </c>
      <c r="J15"/>
      <c r="K15" s="140" t="s">
        <v>439</v>
      </c>
      <c r="L15" s="141" t="s">
        <v>430</v>
      </c>
      <c r="N15" s="140" t="s">
        <v>543</v>
      </c>
      <c r="O15" s="141" t="s">
        <v>544</v>
      </c>
    </row>
    <row r="16" spans="1:15">
      <c r="A16" s="151">
        <v>3.11</v>
      </c>
      <c r="B16" s="155" t="s">
        <v>476</v>
      </c>
      <c r="D16" s="144" t="s">
        <v>153</v>
      </c>
      <c r="E16" s="143"/>
      <c r="F16" s="177" t="s">
        <v>627</v>
      </c>
      <c r="H16" s="116" t="s">
        <v>379</v>
      </c>
      <c r="I16" s="116" t="s">
        <v>591</v>
      </c>
      <c r="J16"/>
      <c r="K16" s="138" t="s">
        <v>427</v>
      </c>
      <c r="L16" s="139" t="s">
        <v>581</v>
      </c>
      <c r="N16" s="138" t="s">
        <v>408</v>
      </c>
      <c r="O16" s="139" t="s">
        <v>546</v>
      </c>
    </row>
    <row r="17" spans="1:16">
      <c r="A17" s="152">
        <v>3.12</v>
      </c>
      <c r="B17" s="156" t="s">
        <v>476</v>
      </c>
      <c r="D17" s="145" t="s">
        <v>154</v>
      </c>
      <c r="E17" s="143"/>
      <c r="F17" s="138" t="s">
        <v>61</v>
      </c>
      <c r="H17" s="138" t="s">
        <v>381</v>
      </c>
      <c r="I17" s="138" t="s">
        <v>587</v>
      </c>
      <c r="J17"/>
      <c r="K17" s="140" t="s">
        <v>397</v>
      </c>
      <c r="L17" s="141" t="s">
        <v>425</v>
      </c>
      <c r="N17" s="140" t="s">
        <v>409</v>
      </c>
      <c r="O17" s="141" t="s">
        <v>549</v>
      </c>
    </row>
    <row r="18" spans="1:16">
      <c r="A18" s="151">
        <v>3.13</v>
      </c>
      <c r="B18" s="155" t="s">
        <v>476</v>
      </c>
      <c r="D18" s="144" t="s">
        <v>155</v>
      </c>
      <c r="E18" s="143"/>
      <c r="F18"/>
      <c r="H18" s="140" t="s">
        <v>384</v>
      </c>
      <c r="I18" s="140" t="s">
        <v>588</v>
      </c>
      <c r="J18"/>
      <c r="K18" s="138" t="s">
        <v>440</v>
      </c>
      <c r="L18" s="139" t="s">
        <v>582</v>
      </c>
      <c r="N18" s="138" t="s">
        <v>557</v>
      </c>
      <c r="O18" s="139" t="s">
        <v>558</v>
      </c>
    </row>
    <row r="19" spans="1:16">
      <c r="A19" s="152">
        <v>3.14</v>
      </c>
      <c r="B19" s="156" t="s">
        <v>477</v>
      </c>
      <c r="D19" s="145" t="s">
        <v>156</v>
      </c>
      <c r="E19" s="143"/>
      <c r="F19" s="17" t="s">
        <v>445</v>
      </c>
      <c r="H19" s="138" t="s">
        <v>382</v>
      </c>
      <c r="I19" s="138" t="s">
        <v>585</v>
      </c>
      <c r="J19"/>
      <c r="K19" s="140" t="s">
        <v>392</v>
      </c>
      <c r="L19" s="141" t="s">
        <v>421</v>
      </c>
      <c r="N19" s="140" t="s">
        <v>555</v>
      </c>
      <c r="O19" s="141" t="s">
        <v>556</v>
      </c>
    </row>
    <row r="20" spans="1:16">
      <c r="A20" s="151">
        <v>3.2</v>
      </c>
      <c r="B20" s="155" t="s">
        <v>478</v>
      </c>
      <c r="D20" s="144" t="s">
        <v>157</v>
      </c>
      <c r="E20" s="143"/>
      <c r="F20" s="137" t="s">
        <v>584</v>
      </c>
      <c r="H20" s="140" t="s">
        <v>435</v>
      </c>
      <c r="I20" s="140" t="s">
        <v>590</v>
      </c>
      <c r="J20"/>
      <c r="K20" s="138" t="s">
        <v>441</v>
      </c>
      <c r="L20" s="139" t="s">
        <v>432</v>
      </c>
      <c r="N20" s="138" t="s">
        <v>553</v>
      </c>
      <c r="O20" s="139" t="s">
        <v>554</v>
      </c>
    </row>
    <row r="21" spans="1:16">
      <c r="A21" s="152">
        <v>3.3</v>
      </c>
      <c r="B21" s="156" t="s">
        <v>479</v>
      </c>
      <c r="D21" s="145" t="s">
        <v>158</v>
      </c>
      <c r="E21" s="143"/>
      <c r="F21" s="138" t="s">
        <v>398</v>
      </c>
      <c r="H21" s="138" t="s">
        <v>383</v>
      </c>
      <c r="I21" s="138" t="s">
        <v>586</v>
      </c>
      <c r="J21"/>
      <c r="K21" s="140" t="s">
        <v>393</v>
      </c>
      <c r="L21" s="141" t="s">
        <v>426</v>
      </c>
      <c r="N21" s="140" t="s">
        <v>540</v>
      </c>
      <c r="O21" s="141" t="s">
        <v>598</v>
      </c>
    </row>
    <row r="22" spans="1:16">
      <c r="A22" s="151">
        <v>3.8</v>
      </c>
      <c r="B22" s="155" t="s">
        <v>480</v>
      </c>
      <c r="D22" s="144" t="s">
        <v>159</v>
      </c>
      <c r="E22" s="143"/>
      <c r="F22" s="140" t="s">
        <v>402</v>
      </c>
      <c r="J22"/>
      <c r="K22" s="138" t="s">
        <v>394</v>
      </c>
      <c r="L22" s="139" t="s">
        <v>417</v>
      </c>
      <c r="N22" s="138" t="s">
        <v>564</v>
      </c>
      <c r="O22" s="139" t="s">
        <v>626</v>
      </c>
    </row>
    <row r="23" spans="1:16">
      <c r="A23" s="152">
        <v>3.9</v>
      </c>
      <c r="B23" s="156" t="s">
        <v>574</v>
      </c>
      <c r="D23" s="145" t="s">
        <v>160</v>
      </c>
      <c r="E23" s="143"/>
      <c r="F23" s="138" t="s">
        <v>401</v>
      </c>
      <c r="K23" s="140" t="s">
        <v>442</v>
      </c>
      <c r="L23" s="141" t="s">
        <v>431</v>
      </c>
      <c r="N23" s="140" t="s">
        <v>527</v>
      </c>
      <c r="O23" s="141" t="s">
        <v>528</v>
      </c>
    </row>
    <row r="24" spans="1:16">
      <c r="A24" s="151">
        <v>4</v>
      </c>
      <c r="B24" s="155" t="s">
        <v>481</v>
      </c>
      <c r="D24" s="144" t="s">
        <v>447</v>
      </c>
      <c r="E24" s="143"/>
      <c r="F24" s="140" t="s">
        <v>399</v>
      </c>
      <c r="K24" s="138" t="s">
        <v>395</v>
      </c>
      <c r="L24" s="139" t="s">
        <v>418</v>
      </c>
      <c r="N24" s="138" t="s">
        <v>70</v>
      </c>
      <c r="O24" s="139" t="s">
        <v>508</v>
      </c>
      <c r="P24" s="138"/>
    </row>
    <row r="25" spans="1:16">
      <c r="A25" s="152">
        <v>4.1100000000000003</v>
      </c>
      <c r="B25" s="156" t="s">
        <v>482</v>
      </c>
      <c r="D25" s="145" t="s">
        <v>163</v>
      </c>
      <c r="E25" s="143"/>
      <c r="F25" s="138" t="s">
        <v>400</v>
      </c>
      <c r="H25" s="17" t="s">
        <v>618</v>
      </c>
      <c r="K25" s="140" t="s">
        <v>396</v>
      </c>
      <c r="L25" s="141" t="s">
        <v>434</v>
      </c>
      <c r="N25" s="140" t="s">
        <v>563</v>
      </c>
      <c r="O25" s="141" t="s">
        <v>563</v>
      </c>
      <c r="P25"/>
    </row>
    <row r="26" spans="1:16">
      <c r="A26" s="151">
        <v>4.12</v>
      </c>
      <c r="B26" s="155" t="s">
        <v>483</v>
      </c>
      <c r="D26" s="144" t="s">
        <v>161</v>
      </c>
      <c r="E26" s="143"/>
      <c r="H26" s="137" t="s">
        <v>595</v>
      </c>
      <c r="I26" s="137"/>
      <c r="K26" s="138" t="s">
        <v>428</v>
      </c>
      <c r="L26" s="139" t="s">
        <v>429</v>
      </c>
      <c r="N26" s="138" t="s">
        <v>565</v>
      </c>
      <c r="O26" s="139" t="s">
        <v>566</v>
      </c>
      <c r="P26"/>
    </row>
    <row r="27" spans="1:16">
      <c r="A27" s="152">
        <v>4.13</v>
      </c>
      <c r="B27" s="156" t="s">
        <v>484</v>
      </c>
      <c r="D27" s="145" t="s">
        <v>162</v>
      </c>
      <c r="E27" s="143"/>
      <c r="H27" s="140" t="s">
        <v>10</v>
      </c>
      <c r="I27" s="140" t="s">
        <v>10</v>
      </c>
      <c r="N27" s="140" t="s">
        <v>509</v>
      </c>
      <c r="O27" s="141" t="s">
        <v>510</v>
      </c>
      <c r="P27"/>
    </row>
    <row r="28" spans="1:16">
      <c r="A28" s="151">
        <v>4.1399999999999997</v>
      </c>
      <c r="B28" s="155" t="s">
        <v>485</v>
      </c>
      <c r="D28" s="144" t="s">
        <v>164</v>
      </c>
      <c r="E28" s="143"/>
      <c r="H28" s="138" t="s">
        <v>68</v>
      </c>
      <c r="I28" s="138" t="s">
        <v>68</v>
      </c>
      <c r="N28" s="138" t="s">
        <v>511</v>
      </c>
      <c r="O28" s="139" t="s">
        <v>512</v>
      </c>
      <c r="P28"/>
    </row>
    <row r="29" spans="1:16">
      <c r="A29" s="152">
        <v>4.2</v>
      </c>
      <c r="B29" s="156" t="s">
        <v>486</v>
      </c>
      <c r="D29" s="145" t="s">
        <v>165</v>
      </c>
      <c r="E29" s="143"/>
      <c r="F29" s="17" t="s">
        <v>444</v>
      </c>
      <c r="H29" s="140" t="s">
        <v>614</v>
      </c>
      <c r="I29" s="140" t="s">
        <v>69</v>
      </c>
      <c r="N29" s="140" t="s">
        <v>513</v>
      </c>
      <c r="O29" s="141" t="s">
        <v>514</v>
      </c>
      <c r="P29"/>
    </row>
    <row r="30" spans="1:16">
      <c r="A30" s="151">
        <v>5</v>
      </c>
      <c r="B30" s="155" t="s">
        <v>487</v>
      </c>
      <c r="D30" s="144" t="s">
        <v>173</v>
      </c>
      <c r="E30" s="143"/>
      <c r="F30" s="150" t="s">
        <v>2</v>
      </c>
      <c r="H30" s="138" t="s">
        <v>615</v>
      </c>
      <c r="I30" s="138" t="s">
        <v>415</v>
      </c>
      <c r="K30" s="17" t="s">
        <v>592</v>
      </c>
      <c r="N30" s="138" t="s">
        <v>515</v>
      </c>
      <c r="O30" s="139" t="s">
        <v>516</v>
      </c>
      <c r="P30"/>
    </row>
    <row r="31" spans="1:16">
      <c r="A31" s="152">
        <v>5.0999999999999996</v>
      </c>
      <c r="B31" s="156" t="s">
        <v>488</v>
      </c>
      <c r="D31" s="145" t="s">
        <v>179</v>
      </c>
      <c r="E31" s="143"/>
      <c r="F31" s="152">
        <v>2010</v>
      </c>
      <c r="H31" s="140" t="s">
        <v>616</v>
      </c>
      <c r="I31" s="140" t="s">
        <v>109</v>
      </c>
      <c r="K31" s="137" t="s">
        <v>593</v>
      </c>
      <c r="N31" s="140" t="s">
        <v>517</v>
      </c>
      <c r="O31" s="141" t="s">
        <v>518</v>
      </c>
      <c r="P31"/>
    </row>
    <row r="32" spans="1:16">
      <c r="A32" s="151">
        <v>5.2</v>
      </c>
      <c r="B32" s="155" t="s">
        <v>489</v>
      </c>
      <c r="D32" s="144" t="s">
        <v>178</v>
      </c>
      <c r="E32" s="143"/>
      <c r="F32" s="151">
        <v>2011</v>
      </c>
      <c r="H32" s="138" t="s">
        <v>617</v>
      </c>
      <c r="I32" s="138" t="s">
        <v>108</v>
      </c>
      <c r="K32" s="138" t="s">
        <v>405</v>
      </c>
      <c r="N32" s="138" t="s">
        <v>519</v>
      </c>
      <c r="O32" s="139" t="s">
        <v>520</v>
      </c>
      <c r="P32"/>
    </row>
    <row r="33" spans="1:16">
      <c r="A33" s="152">
        <v>5.3</v>
      </c>
      <c r="B33" s="156" t="s">
        <v>490</v>
      </c>
      <c r="D33" s="145" t="s">
        <v>168</v>
      </c>
      <c r="E33" s="143"/>
      <c r="F33" s="152">
        <v>2012</v>
      </c>
      <c r="H33" s="37"/>
      <c r="K33" s="140" t="s">
        <v>602</v>
      </c>
      <c r="N33" s="140" t="s">
        <v>521</v>
      </c>
      <c r="O33" s="141" t="s">
        <v>522</v>
      </c>
      <c r="P33"/>
    </row>
    <row r="34" spans="1:16">
      <c r="A34" s="151">
        <v>5.9</v>
      </c>
      <c r="B34" s="155" t="s">
        <v>573</v>
      </c>
      <c r="D34" s="144" t="s">
        <v>169</v>
      </c>
      <c r="E34" s="143"/>
      <c r="F34" s="151">
        <v>2013</v>
      </c>
      <c r="H34" s="37"/>
      <c r="K34" s="138" t="s">
        <v>506</v>
      </c>
      <c r="N34" s="138" t="s">
        <v>523</v>
      </c>
      <c r="O34" s="139" t="s">
        <v>524</v>
      </c>
      <c r="P34"/>
    </row>
    <row r="35" spans="1:16">
      <c r="A35" s="152">
        <v>6</v>
      </c>
      <c r="B35" s="156" t="s">
        <v>491</v>
      </c>
      <c r="D35" s="145" t="s">
        <v>175</v>
      </c>
      <c r="E35" s="143"/>
      <c r="F35" s="152">
        <v>2014</v>
      </c>
      <c r="H35" s="37"/>
      <c r="K35" s="140" t="s">
        <v>603</v>
      </c>
      <c r="N35" s="140" t="s">
        <v>525</v>
      </c>
      <c r="O35" s="141" t="s">
        <v>526</v>
      </c>
      <c r="P35"/>
    </row>
    <row r="36" spans="1:16">
      <c r="A36" s="151">
        <v>6.1</v>
      </c>
      <c r="B36" s="155" t="s">
        <v>492</v>
      </c>
      <c r="D36" s="144" t="s">
        <v>166</v>
      </c>
      <c r="E36" s="143"/>
      <c r="F36" s="151">
        <v>2015</v>
      </c>
      <c r="G36" s="2"/>
      <c r="H36" s="37"/>
      <c r="K36" s="138" t="s">
        <v>404</v>
      </c>
      <c r="N36" s="138" t="s">
        <v>538</v>
      </c>
      <c r="O36" s="139" t="s">
        <v>539</v>
      </c>
      <c r="P36"/>
    </row>
    <row r="37" spans="1:16">
      <c r="A37" s="152">
        <v>6.2</v>
      </c>
      <c r="B37" s="156" t="s">
        <v>493</v>
      </c>
      <c r="D37" s="145" t="s">
        <v>464</v>
      </c>
      <c r="E37" s="143"/>
      <c r="F37" s="152">
        <v>2016</v>
      </c>
      <c r="G37" s="2"/>
      <c r="H37" s="37"/>
      <c r="K37" s="140" t="s">
        <v>3</v>
      </c>
      <c r="N37" s="140" t="s">
        <v>551</v>
      </c>
      <c r="O37" s="141" t="s">
        <v>552</v>
      </c>
    </row>
    <row r="38" spans="1:16">
      <c r="A38" s="151">
        <v>6.3</v>
      </c>
      <c r="B38" s="155" t="s">
        <v>494</v>
      </c>
      <c r="D38" s="144" t="s">
        <v>448</v>
      </c>
      <c r="E38" s="143"/>
      <c r="F38" s="151">
        <v>2017</v>
      </c>
      <c r="G38" s="2"/>
      <c r="H38" s="37"/>
      <c r="K38" s="138" t="s">
        <v>406</v>
      </c>
      <c r="N38" s="138" t="s">
        <v>559</v>
      </c>
      <c r="O38" s="139" t="s">
        <v>560</v>
      </c>
    </row>
    <row r="39" spans="1:16">
      <c r="A39" s="152">
        <v>6.9</v>
      </c>
      <c r="B39" s="156" t="s">
        <v>572</v>
      </c>
      <c r="D39" s="145" t="s">
        <v>172</v>
      </c>
      <c r="E39" s="143"/>
      <c r="F39" s="152">
        <v>2018</v>
      </c>
      <c r="G39" s="2"/>
      <c r="H39" s="37"/>
      <c r="N39" s="140" t="s">
        <v>561</v>
      </c>
      <c r="O39" s="141" t="s">
        <v>562</v>
      </c>
    </row>
    <row r="40" spans="1:16">
      <c r="A40" s="153"/>
      <c r="D40" s="144" t="s">
        <v>171</v>
      </c>
      <c r="E40" s="143"/>
      <c r="F40" s="151">
        <v>2019</v>
      </c>
      <c r="G40" s="2"/>
      <c r="H40" s="37"/>
      <c r="K40" s="138"/>
      <c r="N40" s="138" t="s">
        <v>567</v>
      </c>
      <c r="O40" s="139" t="s">
        <v>568</v>
      </c>
    </row>
    <row r="41" spans="1:16">
      <c r="A41" s="153"/>
      <c r="D41" s="145" t="s">
        <v>170</v>
      </c>
      <c r="E41" s="143"/>
      <c r="F41" s="152">
        <v>2020</v>
      </c>
      <c r="G41" s="2"/>
      <c r="H41" s="37"/>
      <c r="N41" s="140" t="s">
        <v>569</v>
      </c>
      <c r="O41" s="141" t="s">
        <v>570</v>
      </c>
    </row>
    <row r="42" spans="1:16">
      <c r="A42" s="153"/>
      <c r="D42" s="144" t="s">
        <v>177</v>
      </c>
      <c r="E42" s="143"/>
      <c r="G42" s="2"/>
      <c r="H42" s="37"/>
    </row>
    <row r="43" spans="1:16">
      <c r="A43" s="153"/>
      <c r="D43" s="145" t="s">
        <v>176</v>
      </c>
      <c r="E43" s="143"/>
      <c r="G43" s="2"/>
      <c r="H43" s="37"/>
    </row>
    <row r="44" spans="1:16">
      <c r="A44" s="153"/>
      <c r="D44" s="144" t="s">
        <v>174</v>
      </c>
      <c r="E44" s="143"/>
      <c r="G44" s="2"/>
      <c r="H44" s="37"/>
    </row>
    <row r="45" spans="1:16">
      <c r="A45" s="153"/>
      <c r="D45" s="145" t="s">
        <v>167</v>
      </c>
      <c r="E45" s="143"/>
      <c r="G45" s="2"/>
      <c r="H45" s="37"/>
    </row>
    <row r="46" spans="1:16">
      <c r="A46" s="153"/>
      <c r="D46" s="144" t="s">
        <v>180</v>
      </c>
      <c r="E46" s="143"/>
      <c r="G46" s="2"/>
      <c r="H46" s="37"/>
      <c r="I46" s="2"/>
      <c r="J46" s="2"/>
    </row>
    <row r="47" spans="1:16">
      <c r="A47" s="153"/>
      <c r="D47" s="145" t="s">
        <v>181</v>
      </c>
      <c r="E47" s="143"/>
      <c r="G47" s="2"/>
      <c r="H47" s="37"/>
      <c r="I47" s="2"/>
      <c r="J47" s="2"/>
    </row>
    <row r="48" spans="1:16">
      <c r="D48" s="144" t="s">
        <v>182</v>
      </c>
      <c r="E48" s="143"/>
      <c r="G48" s="2"/>
      <c r="H48" s="37"/>
      <c r="I48" s="2"/>
      <c r="J48" s="2"/>
    </row>
    <row r="49" spans="4:20">
      <c r="D49" s="144" t="s">
        <v>183</v>
      </c>
      <c r="E49" s="143"/>
      <c r="G49" s="2"/>
      <c r="H49" s="37"/>
      <c r="I49" s="2"/>
      <c r="J49" s="2"/>
    </row>
    <row r="50" spans="4:20">
      <c r="D50" s="145" t="s">
        <v>184</v>
      </c>
      <c r="E50" s="143"/>
      <c r="H50"/>
      <c r="J50"/>
    </row>
    <row r="51" spans="4:20">
      <c r="D51" s="144" t="s">
        <v>185</v>
      </c>
      <c r="E51" s="143"/>
      <c r="H51"/>
      <c r="J51"/>
    </row>
    <row r="52" spans="4:20">
      <c r="D52" s="145" t="s">
        <v>186</v>
      </c>
      <c r="E52" s="143"/>
      <c r="H52"/>
      <c r="J52"/>
    </row>
    <row r="53" spans="4:20">
      <c r="D53" s="144" t="s">
        <v>187</v>
      </c>
      <c r="E53" s="143"/>
      <c r="H53"/>
      <c r="J53"/>
    </row>
    <row r="54" spans="4:20">
      <c r="D54" s="145" t="s">
        <v>188</v>
      </c>
      <c r="E54" s="143"/>
      <c r="H54"/>
      <c r="J54"/>
      <c r="T54" s="138"/>
    </row>
    <row r="55" spans="4:20">
      <c r="D55" s="144" t="s">
        <v>189</v>
      </c>
      <c r="E55" s="143"/>
      <c r="F55" s="2"/>
      <c r="H55"/>
      <c r="J55"/>
    </row>
    <row r="56" spans="4:20">
      <c r="D56" s="145" t="s">
        <v>190</v>
      </c>
      <c r="E56" s="143"/>
      <c r="F56" s="2"/>
      <c r="H56"/>
      <c r="J56"/>
    </row>
    <row r="57" spans="4:20">
      <c r="D57" s="144" t="s">
        <v>191</v>
      </c>
      <c r="E57" s="143"/>
      <c r="F57"/>
      <c r="H57"/>
      <c r="J57"/>
      <c r="L57" s="2"/>
      <c r="M57" s="2"/>
    </row>
    <row r="58" spans="4:20">
      <c r="D58" s="145" t="s">
        <v>192</v>
      </c>
      <c r="E58" s="143"/>
      <c r="F58"/>
      <c r="H58"/>
      <c r="J58"/>
      <c r="L58"/>
    </row>
    <row r="59" spans="4:20">
      <c r="D59" s="144" t="s">
        <v>193</v>
      </c>
      <c r="E59" s="143"/>
      <c r="F59"/>
      <c r="H59"/>
      <c r="J59"/>
      <c r="L59"/>
    </row>
    <row r="60" spans="4:20">
      <c r="D60" s="145" t="s">
        <v>194</v>
      </c>
      <c r="E60" s="143"/>
      <c r="F60"/>
      <c r="H60"/>
      <c r="J60"/>
      <c r="L60"/>
    </row>
    <row r="61" spans="4:20">
      <c r="D61" s="144" t="s">
        <v>195</v>
      </c>
      <c r="E61" s="143"/>
      <c r="F61"/>
      <c r="H61"/>
      <c r="J61"/>
      <c r="L61"/>
    </row>
    <row r="62" spans="4:20">
      <c r="D62" s="145" t="s">
        <v>196</v>
      </c>
      <c r="E62" s="143"/>
      <c r="F62"/>
      <c r="H62"/>
      <c r="J62"/>
      <c r="L62"/>
    </row>
    <row r="63" spans="4:20">
      <c r="D63" s="144" t="s">
        <v>198</v>
      </c>
      <c r="E63" s="143"/>
      <c r="F63"/>
      <c r="H63"/>
      <c r="J63"/>
      <c r="L63"/>
    </row>
    <row r="64" spans="4:20">
      <c r="D64" s="145" t="s">
        <v>197</v>
      </c>
      <c r="E64" s="143"/>
      <c r="F64"/>
      <c r="H64"/>
      <c r="J64"/>
      <c r="L64"/>
      <c r="P64" s="2"/>
    </row>
    <row r="65" spans="4:16">
      <c r="D65" s="144" t="s">
        <v>200</v>
      </c>
      <c r="E65" s="143"/>
      <c r="F65"/>
      <c r="H65"/>
      <c r="J65"/>
      <c r="L65"/>
      <c r="P65"/>
    </row>
    <row r="66" spans="4:16">
      <c r="D66" s="145" t="s">
        <v>199</v>
      </c>
      <c r="E66" s="143"/>
      <c r="F66"/>
      <c r="H66"/>
      <c r="J66"/>
      <c r="L66"/>
      <c r="P66"/>
    </row>
    <row r="67" spans="4:16">
      <c r="D67" s="144" t="s">
        <v>202</v>
      </c>
      <c r="E67" s="143"/>
      <c r="F67"/>
      <c r="H67"/>
      <c r="J67"/>
      <c r="L67"/>
      <c r="P67"/>
    </row>
    <row r="68" spans="4:16">
      <c r="D68" s="145" t="s">
        <v>201</v>
      </c>
      <c r="E68" s="143"/>
      <c r="F68"/>
      <c r="H68"/>
      <c r="J68"/>
      <c r="L68"/>
      <c r="P68"/>
    </row>
    <row r="69" spans="4:16">
      <c r="D69" s="144" t="s">
        <v>449</v>
      </c>
      <c r="E69" s="143"/>
      <c r="F69"/>
      <c r="H69"/>
      <c r="J69"/>
      <c r="L69"/>
      <c r="N69" s="2"/>
      <c r="O69" s="2"/>
      <c r="P69"/>
    </row>
    <row r="70" spans="4:16">
      <c r="D70" s="145" t="s">
        <v>450</v>
      </c>
      <c r="E70" s="143"/>
      <c r="F70"/>
      <c r="H70"/>
      <c r="J70"/>
      <c r="L70"/>
      <c r="P70"/>
    </row>
    <row r="71" spans="4:16">
      <c r="D71" s="144" t="s">
        <v>204</v>
      </c>
      <c r="E71" s="143"/>
      <c r="F71"/>
      <c r="H71"/>
      <c r="J71"/>
      <c r="L71"/>
      <c r="P71"/>
    </row>
    <row r="72" spans="4:16">
      <c r="D72" s="145" t="s">
        <v>203</v>
      </c>
      <c r="E72" s="143"/>
      <c r="F72"/>
      <c r="H72"/>
      <c r="J72"/>
      <c r="L72"/>
      <c r="P72"/>
    </row>
    <row r="73" spans="4:16">
      <c r="D73" s="144" t="s">
        <v>209</v>
      </c>
      <c r="E73" s="143"/>
      <c r="F73"/>
      <c r="H73"/>
      <c r="J73"/>
      <c r="L73"/>
      <c r="P73"/>
    </row>
    <row r="74" spans="4:16">
      <c r="D74" s="145" t="s">
        <v>495</v>
      </c>
      <c r="E74" s="143"/>
      <c r="F74"/>
      <c r="H74"/>
      <c r="J74"/>
      <c r="L74"/>
      <c r="P74"/>
    </row>
    <row r="75" spans="4:16">
      <c r="D75" s="144" t="s">
        <v>205</v>
      </c>
      <c r="E75" s="143"/>
      <c r="F75"/>
      <c r="H75"/>
      <c r="J75"/>
      <c r="L75"/>
      <c r="P75"/>
    </row>
    <row r="76" spans="4:16">
      <c r="D76" s="145" t="s">
        <v>210</v>
      </c>
      <c r="E76" s="143"/>
      <c r="F76"/>
      <c r="H76"/>
      <c r="J76"/>
      <c r="L76"/>
      <c r="P76"/>
    </row>
    <row r="77" spans="4:16">
      <c r="D77" s="144" t="s">
        <v>206</v>
      </c>
      <c r="E77" s="143"/>
      <c r="F77"/>
      <c r="H77"/>
      <c r="J77"/>
      <c r="L77"/>
      <c r="P77"/>
    </row>
    <row r="78" spans="4:16">
      <c r="D78" s="145" t="s">
        <v>207</v>
      </c>
      <c r="E78" s="143"/>
      <c r="F78"/>
      <c r="H78"/>
      <c r="J78"/>
      <c r="L78"/>
      <c r="P78"/>
    </row>
    <row r="79" spans="4:16">
      <c r="D79" s="144" t="s">
        <v>208</v>
      </c>
      <c r="E79" s="143"/>
      <c r="F79"/>
      <c r="H79"/>
      <c r="J79"/>
      <c r="L79"/>
      <c r="P79"/>
    </row>
    <row r="80" spans="4:16">
      <c r="D80" s="145" t="s">
        <v>211</v>
      </c>
      <c r="E80" s="143"/>
      <c r="F80"/>
      <c r="H80"/>
      <c r="J80"/>
      <c r="L80"/>
      <c r="P80"/>
    </row>
    <row r="81" spans="4:16">
      <c r="D81" s="144" t="s">
        <v>212</v>
      </c>
      <c r="E81" s="143"/>
      <c r="F81"/>
      <c r="H81"/>
      <c r="J81"/>
      <c r="L81"/>
      <c r="P81"/>
    </row>
    <row r="82" spans="4:16">
      <c r="D82" s="145" t="s">
        <v>215</v>
      </c>
      <c r="E82" s="143"/>
      <c r="F82"/>
      <c r="H82"/>
      <c r="J82"/>
      <c r="L82"/>
      <c r="P82"/>
    </row>
    <row r="83" spans="4:16">
      <c r="D83" s="144" t="s">
        <v>213</v>
      </c>
      <c r="E83" s="143"/>
      <c r="F83"/>
      <c r="H83"/>
      <c r="J83"/>
      <c r="L83"/>
      <c r="P83"/>
    </row>
    <row r="84" spans="4:16">
      <c r="D84" s="145" t="s">
        <v>214</v>
      </c>
      <c r="E84" s="143"/>
      <c r="F84"/>
      <c r="H84"/>
      <c r="J84"/>
      <c r="L84"/>
      <c r="P84"/>
    </row>
    <row r="85" spans="4:16">
      <c r="D85" s="144" t="s">
        <v>216</v>
      </c>
      <c r="E85" s="143"/>
      <c r="F85"/>
      <c r="H85"/>
      <c r="J85"/>
      <c r="L85"/>
      <c r="P85"/>
    </row>
    <row r="86" spans="4:16">
      <c r="D86" s="145" t="s">
        <v>451</v>
      </c>
      <c r="E86" s="143"/>
      <c r="F86"/>
      <c r="H86"/>
      <c r="J86"/>
      <c r="L86"/>
      <c r="P86"/>
    </row>
    <row r="87" spans="4:16">
      <c r="D87" s="144" t="s">
        <v>452</v>
      </c>
      <c r="E87" s="143"/>
      <c r="F87"/>
      <c r="H87"/>
      <c r="J87"/>
      <c r="L87"/>
      <c r="P87"/>
    </row>
    <row r="88" spans="4:16">
      <c r="D88" s="145" t="s">
        <v>217</v>
      </c>
      <c r="E88" s="143"/>
      <c r="F88"/>
      <c r="H88"/>
      <c r="J88"/>
      <c r="L88"/>
      <c r="P88"/>
    </row>
    <row r="89" spans="4:16">
      <c r="D89" s="144" t="s">
        <v>223</v>
      </c>
      <c r="E89" s="143"/>
      <c r="F89"/>
      <c r="H89"/>
      <c r="J89"/>
      <c r="L89"/>
      <c r="P89"/>
    </row>
    <row r="90" spans="4:16">
      <c r="D90" s="145" t="s">
        <v>224</v>
      </c>
      <c r="E90" s="143"/>
      <c r="F90"/>
      <c r="H90"/>
      <c r="J90"/>
      <c r="L90"/>
      <c r="P90"/>
    </row>
    <row r="91" spans="4:16">
      <c r="D91" s="144" t="s">
        <v>218</v>
      </c>
      <c r="E91" s="143"/>
      <c r="F91"/>
      <c r="H91"/>
      <c r="J91"/>
      <c r="L91"/>
      <c r="P91"/>
    </row>
    <row r="92" spans="4:16">
      <c r="D92" s="145" t="s">
        <v>221</v>
      </c>
      <c r="E92" s="143"/>
      <c r="F92"/>
      <c r="H92"/>
      <c r="J92"/>
      <c r="L92"/>
      <c r="P92"/>
    </row>
    <row r="93" spans="4:16">
      <c r="D93" s="144" t="s">
        <v>220</v>
      </c>
      <c r="E93" s="143"/>
      <c r="F93"/>
      <c r="H93"/>
      <c r="J93"/>
      <c r="L93"/>
      <c r="P93"/>
    </row>
    <row r="94" spans="4:16">
      <c r="D94" s="145" t="s">
        <v>219</v>
      </c>
      <c r="E94" s="143"/>
      <c r="F94"/>
      <c r="H94"/>
      <c r="J94"/>
      <c r="L94"/>
      <c r="P94"/>
    </row>
    <row r="95" spans="4:16">
      <c r="D95" s="144" t="s">
        <v>222</v>
      </c>
      <c r="E95" s="143"/>
      <c r="F95"/>
      <c r="H95"/>
      <c r="J95"/>
      <c r="L95"/>
      <c r="P95"/>
    </row>
    <row r="96" spans="4:16">
      <c r="D96" s="145" t="s">
        <v>225</v>
      </c>
      <c r="E96" s="143"/>
      <c r="F96"/>
      <c r="H96"/>
      <c r="J96"/>
      <c r="L96"/>
      <c r="P96"/>
    </row>
    <row r="97" spans="4:16">
      <c r="D97" s="144" t="s">
        <v>226</v>
      </c>
      <c r="E97" s="143"/>
      <c r="F97"/>
      <c r="H97"/>
      <c r="J97"/>
      <c r="L97"/>
      <c r="P97"/>
    </row>
    <row r="98" spans="4:16">
      <c r="D98" s="145" t="s">
        <v>453</v>
      </c>
      <c r="E98" s="143"/>
      <c r="F98"/>
      <c r="H98"/>
      <c r="J98"/>
      <c r="L98"/>
      <c r="P98"/>
    </row>
    <row r="99" spans="4:16">
      <c r="D99" s="144" t="s">
        <v>148</v>
      </c>
      <c r="E99" s="143"/>
      <c r="F99"/>
      <c r="H99"/>
      <c r="J99"/>
      <c r="L99"/>
      <c r="P99"/>
    </row>
    <row r="100" spans="4:16">
      <c r="D100" s="145" t="s">
        <v>227</v>
      </c>
      <c r="E100" s="143"/>
      <c r="F100"/>
      <c r="H100"/>
      <c r="J100"/>
      <c r="L100"/>
      <c r="P100"/>
    </row>
    <row r="101" spans="4:16">
      <c r="D101" s="144" t="s">
        <v>228</v>
      </c>
      <c r="E101" s="143"/>
      <c r="F101"/>
      <c r="H101"/>
      <c r="J101"/>
      <c r="L101"/>
      <c r="P101"/>
    </row>
    <row r="102" spans="4:16">
      <c r="D102" s="145" t="s">
        <v>496</v>
      </c>
      <c r="E102" s="143"/>
      <c r="F102"/>
      <c r="H102"/>
      <c r="J102"/>
      <c r="L102"/>
      <c r="P102"/>
    </row>
    <row r="103" spans="4:16">
      <c r="D103" s="144" t="s">
        <v>497</v>
      </c>
      <c r="E103" s="143"/>
      <c r="F103"/>
      <c r="H103"/>
      <c r="J103"/>
      <c r="L103"/>
      <c r="P103"/>
    </row>
    <row r="104" spans="4:16">
      <c r="D104" s="145" t="s">
        <v>498</v>
      </c>
      <c r="E104" s="143"/>
      <c r="F104"/>
      <c r="H104"/>
      <c r="J104"/>
      <c r="L104"/>
      <c r="P104"/>
    </row>
    <row r="105" spans="4:16">
      <c r="D105" s="144" t="s">
        <v>229</v>
      </c>
      <c r="E105" s="143"/>
      <c r="F105"/>
      <c r="H105"/>
      <c r="J105"/>
      <c r="L105"/>
      <c r="P105"/>
    </row>
    <row r="106" spans="4:16">
      <c r="D106" s="145" t="s">
        <v>230</v>
      </c>
      <c r="E106" s="143"/>
      <c r="F106"/>
      <c r="H106"/>
      <c r="J106"/>
      <c r="L106"/>
      <c r="P106"/>
    </row>
    <row r="107" spans="4:16">
      <c r="D107" s="144" t="s">
        <v>231</v>
      </c>
      <c r="E107" s="143"/>
      <c r="F107"/>
      <c r="H107"/>
      <c r="J107"/>
      <c r="L107"/>
      <c r="P107"/>
    </row>
    <row r="108" spans="4:16">
      <c r="D108" s="145" t="s">
        <v>232</v>
      </c>
      <c r="E108" s="143"/>
      <c r="F108"/>
      <c r="H108"/>
      <c r="J108"/>
      <c r="L108"/>
      <c r="P108"/>
    </row>
    <row r="109" spans="4:16">
      <c r="D109" s="144" t="s">
        <v>233</v>
      </c>
      <c r="E109" s="143"/>
      <c r="F109"/>
      <c r="H109"/>
      <c r="J109"/>
      <c r="L109"/>
      <c r="P109"/>
    </row>
    <row r="110" spans="4:16">
      <c r="D110" s="145" t="s">
        <v>234</v>
      </c>
      <c r="E110" s="143"/>
      <c r="F110"/>
      <c r="H110"/>
      <c r="J110"/>
      <c r="L110"/>
      <c r="P110"/>
    </row>
    <row r="111" spans="4:16">
      <c r="D111" s="144" t="s">
        <v>235</v>
      </c>
      <c r="E111" s="143"/>
      <c r="F111"/>
      <c r="H111"/>
      <c r="J111"/>
      <c r="L111"/>
      <c r="P111"/>
    </row>
    <row r="112" spans="4:16">
      <c r="D112" s="145" t="s">
        <v>236</v>
      </c>
      <c r="E112" s="143"/>
      <c r="F112"/>
      <c r="H112"/>
      <c r="J112"/>
      <c r="L112"/>
      <c r="P112"/>
    </row>
    <row r="113" spans="4:16">
      <c r="D113" s="144" t="s">
        <v>237</v>
      </c>
      <c r="E113" s="143"/>
      <c r="F113"/>
      <c r="H113"/>
      <c r="J113"/>
      <c r="L113"/>
      <c r="P113"/>
    </row>
    <row r="114" spans="4:16">
      <c r="D114" s="145" t="s">
        <v>238</v>
      </c>
      <c r="E114" s="143"/>
      <c r="F114"/>
      <c r="H114"/>
      <c r="J114"/>
      <c r="L114"/>
      <c r="P114"/>
    </row>
    <row r="115" spans="4:16">
      <c r="D115" s="144" t="s">
        <v>239</v>
      </c>
      <c r="E115" s="143"/>
      <c r="F115"/>
      <c r="H115"/>
      <c r="J115"/>
      <c r="L115"/>
      <c r="P115"/>
    </row>
    <row r="116" spans="4:16">
      <c r="D116" s="145" t="s">
        <v>240</v>
      </c>
      <c r="E116" s="143"/>
      <c r="F116"/>
      <c r="H116"/>
      <c r="J116"/>
      <c r="L116"/>
      <c r="P116"/>
    </row>
    <row r="117" spans="4:16">
      <c r="D117" s="144" t="s">
        <v>241</v>
      </c>
      <c r="E117" s="143"/>
      <c r="F117"/>
      <c r="H117"/>
      <c r="J117"/>
      <c r="L117"/>
      <c r="P117"/>
    </row>
    <row r="118" spans="4:16">
      <c r="D118" s="145" t="s">
        <v>242</v>
      </c>
      <c r="E118" s="143"/>
      <c r="F118"/>
      <c r="H118"/>
      <c r="J118"/>
      <c r="L118"/>
      <c r="P118"/>
    </row>
    <row r="119" spans="4:16">
      <c r="D119" s="144" t="s">
        <v>243</v>
      </c>
      <c r="E119" s="143"/>
      <c r="F119"/>
      <c r="H119"/>
      <c r="J119"/>
      <c r="L119"/>
      <c r="P119"/>
    </row>
    <row r="120" spans="4:16">
      <c r="D120" s="145" t="s">
        <v>249</v>
      </c>
      <c r="E120" s="143"/>
      <c r="F120"/>
      <c r="H120"/>
      <c r="J120"/>
      <c r="L120"/>
      <c r="P120"/>
    </row>
    <row r="121" spans="4:16">
      <c r="D121" s="144" t="s">
        <v>244</v>
      </c>
      <c r="E121" s="143"/>
      <c r="F121"/>
      <c r="H121"/>
      <c r="J121"/>
      <c r="L121"/>
      <c r="P121"/>
    </row>
    <row r="122" spans="4:16">
      <c r="D122" s="145" t="s">
        <v>245</v>
      </c>
      <c r="E122" s="143"/>
      <c r="F122"/>
      <c r="H122"/>
      <c r="J122"/>
      <c r="L122"/>
      <c r="P122"/>
    </row>
    <row r="123" spans="4:16">
      <c r="D123" s="144" t="s">
        <v>246</v>
      </c>
      <c r="E123" s="143"/>
      <c r="F123"/>
      <c r="H123"/>
      <c r="J123"/>
      <c r="L123"/>
      <c r="P123"/>
    </row>
    <row r="124" spans="4:16">
      <c r="D124" s="145" t="s">
        <v>247</v>
      </c>
      <c r="E124" s="143"/>
      <c r="F124"/>
      <c r="H124"/>
      <c r="J124"/>
      <c r="L124"/>
      <c r="P124"/>
    </row>
    <row r="125" spans="4:16">
      <c r="D125" s="144" t="s">
        <v>248</v>
      </c>
      <c r="E125" s="143"/>
      <c r="F125"/>
      <c r="H125"/>
      <c r="J125"/>
      <c r="L125"/>
      <c r="P125"/>
    </row>
    <row r="126" spans="4:16">
      <c r="D126" s="145" t="s">
        <v>250</v>
      </c>
      <c r="E126" s="143"/>
      <c r="F126"/>
      <c r="H126"/>
      <c r="J126"/>
      <c r="L126"/>
      <c r="P126"/>
    </row>
    <row r="127" spans="4:16">
      <c r="D127" s="144" t="s">
        <v>251</v>
      </c>
      <c r="E127" s="143"/>
      <c r="F127"/>
      <c r="H127"/>
      <c r="J127"/>
      <c r="L127"/>
      <c r="P127"/>
    </row>
    <row r="128" spans="4:16">
      <c r="D128" s="145" t="s">
        <v>252</v>
      </c>
      <c r="E128" s="143"/>
      <c r="F128"/>
      <c r="H128"/>
      <c r="J128"/>
      <c r="L128"/>
      <c r="P128"/>
    </row>
    <row r="129" spans="4:16">
      <c r="D129" s="144" t="s">
        <v>253</v>
      </c>
      <c r="E129" s="143"/>
      <c r="F129"/>
      <c r="H129"/>
      <c r="J129"/>
      <c r="L129"/>
      <c r="P129"/>
    </row>
    <row r="130" spans="4:16">
      <c r="D130" s="145" t="s">
        <v>254</v>
      </c>
      <c r="E130" s="143"/>
      <c r="F130"/>
      <c r="H130"/>
      <c r="J130"/>
      <c r="L130"/>
      <c r="P130"/>
    </row>
    <row r="131" spans="4:16">
      <c r="D131" s="144" t="s">
        <v>255</v>
      </c>
      <c r="E131" s="143"/>
      <c r="F131"/>
      <c r="H131"/>
      <c r="J131"/>
      <c r="L131"/>
      <c r="P131"/>
    </row>
    <row r="132" spans="4:16">
      <c r="D132" s="145" t="s">
        <v>256</v>
      </c>
      <c r="E132" s="143"/>
      <c r="F132"/>
      <c r="H132"/>
      <c r="J132"/>
      <c r="L132"/>
      <c r="P132"/>
    </row>
    <row r="133" spans="4:16">
      <c r="D133" s="144" t="s">
        <v>257</v>
      </c>
      <c r="E133" s="143"/>
      <c r="F133"/>
      <c r="H133"/>
      <c r="J133"/>
      <c r="L133"/>
      <c r="P133"/>
    </row>
    <row r="134" spans="4:16">
      <c r="D134" s="146" t="s">
        <v>454</v>
      </c>
      <c r="E134" s="143"/>
      <c r="F134"/>
      <c r="H134"/>
      <c r="J134"/>
      <c r="L134"/>
      <c r="P134"/>
    </row>
    <row r="135" spans="4:16">
      <c r="D135" s="144" t="s">
        <v>455</v>
      </c>
      <c r="E135" s="143"/>
      <c r="F135"/>
      <c r="H135"/>
      <c r="J135"/>
      <c r="L135"/>
      <c r="P135"/>
    </row>
    <row r="136" spans="4:16">
      <c r="D136" s="145" t="s">
        <v>329</v>
      </c>
      <c r="E136" s="143"/>
      <c r="F136"/>
      <c r="H136"/>
      <c r="J136"/>
      <c r="L136"/>
      <c r="P136"/>
    </row>
    <row r="137" spans="4:16">
      <c r="D137" s="144" t="s">
        <v>260</v>
      </c>
      <c r="E137" s="143"/>
      <c r="F137"/>
      <c r="H137"/>
      <c r="J137"/>
      <c r="L137"/>
      <c r="P137"/>
    </row>
    <row r="138" spans="4:16">
      <c r="D138" s="144" t="s">
        <v>261</v>
      </c>
      <c r="E138" s="143"/>
      <c r="F138"/>
      <c r="H138"/>
      <c r="J138"/>
      <c r="L138"/>
      <c r="P138"/>
    </row>
    <row r="139" spans="4:16">
      <c r="D139" s="145" t="s">
        <v>268</v>
      </c>
      <c r="E139" s="143"/>
      <c r="F139"/>
      <c r="H139"/>
      <c r="J139"/>
      <c r="L139"/>
      <c r="P139"/>
    </row>
    <row r="140" spans="4:16">
      <c r="D140" s="144" t="s">
        <v>267</v>
      </c>
      <c r="E140" s="143"/>
      <c r="F140"/>
      <c r="H140"/>
      <c r="J140"/>
      <c r="L140"/>
      <c r="P140"/>
    </row>
    <row r="141" spans="4:16">
      <c r="D141" s="145" t="s">
        <v>262</v>
      </c>
      <c r="E141" s="143"/>
      <c r="F141"/>
      <c r="H141"/>
      <c r="J141"/>
      <c r="L141"/>
      <c r="P141"/>
    </row>
    <row r="142" spans="4:16">
      <c r="D142" s="144" t="s">
        <v>265</v>
      </c>
      <c r="E142" s="143"/>
      <c r="F142"/>
      <c r="H142"/>
      <c r="J142"/>
      <c r="L142"/>
      <c r="P142"/>
    </row>
    <row r="143" spans="4:16">
      <c r="D143" s="145" t="s">
        <v>266</v>
      </c>
      <c r="E143" s="143"/>
      <c r="F143"/>
      <c r="H143"/>
      <c r="J143"/>
      <c r="L143"/>
      <c r="P143"/>
    </row>
    <row r="144" spans="4:16">
      <c r="D144" s="144" t="s">
        <v>264</v>
      </c>
      <c r="E144" s="143"/>
      <c r="F144"/>
      <c r="H144"/>
      <c r="J144"/>
      <c r="L144"/>
      <c r="P144"/>
    </row>
    <row r="145" spans="4:16">
      <c r="D145" s="145" t="s">
        <v>456</v>
      </c>
      <c r="E145" s="143"/>
      <c r="F145"/>
      <c r="H145"/>
      <c r="J145"/>
      <c r="L145"/>
      <c r="P145"/>
    </row>
    <row r="146" spans="4:16">
      <c r="D146" s="144" t="s">
        <v>263</v>
      </c>
      <c r="E146" s="143"/>
      <c r="F146"/>
      <c r="H146"/>
      <c r="J146"/>
      <c r="L146"/>
      <c r="P146"/>
    </row>
    <row r="147" spans="4:16">
      <c r="D147" s="145" t="s">
        <v>316</v>
      </c>
      <c r="E147" s="143"/>
      <c r="F147"/>
      <c r="H147"/>
      <c r="J147"/>
      <c r="L147"/>
      <c r="P147"/>
    </row>
    <row r="148" spans="4:16">
      <c r="D148" s="144" t="s">
        <v>315</v>
      </c>
      <c r="E148" s="143"/>
      <c r="F148"/>
      <c r="H148"/>
      <c r="J148"/>
      <c r="L148"/>
      <c r="P148"/>
    </row>
    <row r="149" spans="4:16">
      <c r="D149" s="145" t="s">
        <v>318</v>
      </c>
      <c r="E149" s="143"/>
      <c r="F149"/>
      <c r="H149"/>
      <c r="J149"/>
      <c r="L149"/>
      <c r="P149"/>
    </row>
    <row r="150" spans="4:16">
      <c r="D150" s="144" t="s">
        <v>317</v>
      </c>
      <c r="E150" s="143"/>
      <c r="F150"/>
      <c r="H150"/>
      <c r="J150"/>
      <c r="L150"/>
      <c r="P150"/>
    </row>
    <row r="151" spans="4:16">
      <c r="D151" s="145" t="s">
        <v>271</v>
      </c>
      <c r="E151" s="143"/>
      <c r="F151"/>
      <c r="H151"/>
      <c r="J151"/>
      <c r="L151"/>
      <c r="P151"/>
    </row>
    <row r="152" spans="4:16">
      <c r="D152" s="144" t="s">
        <v>270</v>
      </c>
      <c r="E152" s="143"/>
      <c r="F152"/>
      <c r="H152"/>
      <c r="J152"/>
      <c r="L152"/>
      <c r="P152"/>
    </row>
    <row r="153" spans="4:16">
      <c r="D153" s="145" t="s">
        <v>269</v>
      </c>
      <c r="E153" s="143"/>
      <c r="F153"/>
      <c r="H153"/>
      <c r="J153"/>
      <c r="L153"/>
      <c r="P153"/>
    </row>
    <row r="154" spans="4:16">
      <c r="D154" s="144" t="s">
        <v>272</v>
      </c>
      <c r="E154" s="143"/>
      <c r="F154"/>
      <c r="H154"/>
      <c r="J154"/>
      <c r="L154"/>
      <c r="P154"/>
    </row>
    <row r="155" spans="4:16">
      <c r="D155" s="145" t="s">
        <v>258</v>
      </c>
      <c r="E155" s="143"/>
      <c r="F155"/>
      <c r="H155"/>
      <c r="J155"/>
      <c r="L155"/>
      <c r="P155"/>
    </row>
    <row r="156" spans="4:16">
      <c r="D156" s="144" t="s">
        <v>499</v>
      </c>
      <c r="E156" s="143"/>
      <c r="F156"/>
      <c r="H156"/>
      <c r="J156"/>
      <c r="L156"/>
      <c r="P156"/>
    </row>
    <row r="157" spans="4:16">
      <c r="D157" s="145" t="s">
        <v>259</v>
      </c>
      <c r="E157" s="143"/>
      <c r="F157"/>
      <c r="H157"/>
      <c r="J157"/>
      <c r="L157"/>
      <c r="P157"/>
    </row>
    <row r="158" spans="4:16">
      <c r="D158" s="144" t="s">
        <v>276</v>
      </c>
      <c r="E158" s="143"/>
      <c r="F158"/>
      <c r="H158"/>
      <c r="J158"/>
      <c r="L158"/>
      <c r="P158"/>
    </row>
    <row r="159" spans="4:16">
      <c r="D159" s="145" t="s">
        <v>273</v>
      </c>
      <c r="E159" s="143"/>
      <c r="F159"/>
      <c r="H159"/>
      <c r="J159"/>
      <c r="L159"/>
      <c r="P159"/>
    </row>
    <row r="160" spans="4:16">
      <c r="D160" s="144" t="s">
        <v>275</v>
      </c>
      <c r="E160" s="143"/>
      <c r="F160"/>
      <c r="H160"/>
      <c r="J160"/>
      <c r="L160"/>
      <c r="P160"/>
    </row>
    <row r="161" spans="4:16">
      <c r="D161" s="145" t="s">
        <v>274</v>
      </c>
      <c r="E161" s="143"/>
      <c r="F161"/>
      <c r="H161"/>
      <c r="J161"/>
      <c r="L161"/>
      <c r="P161"/>
    </row>
    <row r="162" spans="4:16">
      <c r="D162" s="144" t="s">
        <v>457</v>
      </c>
      <c r="E162" s="143"/>
      <c r="F162"/>
      <c r="H162"/>
      <c r="J162"/>
      <c r="L162"/>
      <c r="P162"/>
    </row>
    <row r="163" spans="4:16">
      <c r="D163" s="145" t="s">
        <v>458</v>
      </c>
      <c r="E163" s="143"/>
      <c r="F163"/>
      <c r="H163"/>
      <c r="J163"/>
      <c r="L163"/>
      <c r="P163"/>
    </row>
    <row r="164" spans="4:16">
      <c r="D164" s="144" t="s">
        <v>336</v>
      </c>
      <c r="E164" s="143"/>
      <c r="F164"/>
      <c r="H164"/>
      <c r="J164"/>
      <c r="L164"/>
      <c r="P164"/>
    </row>
    <row r="165" spans="4:16">
      <c r="D165" s="145" t="s">
        <v>338</v>
      </c>
      <c r="E165" s="143"/>
      <c r="F165"/>
      <c r="H165"/>
      <c r="J165"/>
      <c r="L165"/>
      <c r="P165"/>
    </row>
    <row r="166" spans="4:16">
      <c r="D166" s="144" t="s">
        <v>337</v>
      </c>
      <c r="E166" s="143"/>
      <c r="F166"/>
      <c r="H166"/>
      <c r="J166"/>
      <c r="L166"/>
      <c r="P166"/>
    </row>
    <row r="167" spans="4:16">
      <c r="D167" s="145" t="s">
        <v>340</v>
      </c>
      <c r="E167" s="143"/>
      <c r="F167"/>
      <c r="H167"/>
      <c r="J167"/>
      <c r="L167"/>
      <c r="P167"/>
    </row>
    <row r="168" spans="4:16">
      <c r="D168" s="144" t="s">
        <v>339</v>
      </c>
      <c r="E168" s="143"/>
      <c r="F168"/>
      <c r="H168"/>
      <c r="J168"/>
      <c r="L168"/>
      <c r="P168"/>
    </row>
    <row r="169" spans="4:16">
      <c r="D169" s="145" t="s">
        <v>277</v>
      </c>
      <c r="E169" s="143"/>
      <c r="F169"/>
      <c r="H169"/>
      <c r="J169"/>
      <c r="L169"/>
      <c r="P169"/>
    </row>
    <row r="170" spans="4:16">
      <c r="D170" s="144" t="s">
        <v>278</v>
      </c>
      <c r="E170" s="143"/>
      <c r="F170"/>
      <c r="H170"/>
      <c r="J170"/>
      <c r="L170"/>
      <c r="P170"/>
    </row>
    <row r="171" spans="4:16">
      <c r="D171" s="145" t="s">
        <v>279</v>
      </c>
      <c r="E171" s="143"/>
      <c r="F171"/>
      <c r="H171"/>
      <c r="J171"/>
      <c r="L171"/>
      <c r="P171"/>
    </row>
    <row r="172" spans="4:16">
      <c r="D172" s="144" t="s">
        <v>281</v>
      </c>
      <c r="E172" s="143"/>
      <c r="F172"/>
      <c r="H172"/>
      <c r="J172"/>
      <c r="L172"/>
      <c r="P172"/>
    </row>
    <row r="173" spans="4:16">
      <c r="D173" s="145" t="s">
        <v>280</v>
      </c>
      <c r="E173" s="143"/>
      <c r="F173"/>
      <c r="H173"/>
      <c r="J173"/>
      <c r="L173"/>
      <c r="P173"/>
    </row>
    <row r="174" spans="4:16">
      <c r="D174" s="144" t="s">
        <v>282</v>
      </c>
      <c r="E174" s="143"/>
      <c r="F174"/>
      <c r="H174"/>
      <c r="J174"/>
      <c r="L174"/>
      <c r="P174"/>
    </row>
    <row r="175" spans="4:16">
      <c r="D175" s="145" t="s">
        <v>287</v>
      </c>
      <c r="E175" s="143"/>
      <c r="F175"/>
      <c r="H175"/>
      <c r="J175"/>
      <c r="L175"/>
      <c r="P175"/>
    </row>
    <row r="176" spans="4:16">
      <c r="D176" s="144" t="s">
        <v>283</v>
      </c>
      <c r="E176" s="143"/>
      <c r="F176"/>
      <c r="H176"/>
      <c r="J176"/>
      <c r="L176"/>
      <c r="P176"/>
    </row>
    <row r="177" spans="4:16">
      <c r="D177" s="145" t="s">
        <v>285</v>
      </c>
      <c r="E177" s="143"/>
      <c r="F177"/>
      <c r="H177"/>
      <c r="J177"/>
      <c r="L177"/>
      <c r="P177"/>
    </row>
    <row r="178" spans="4:16">
      <c r="D178" s="144" t="s">
        <v>284</v>
      </c>
      <c r="E178" s="143"/>
      <c r="F178"/>
      <c r="H178"/>
      <c r="J178"/>
      <c r="L178"/>
      <c r="P178"/>
    </row>
    <row r="179" spans="4:16">
      <c r="D179" s="145" t="s">
        <v>286</v>
      </c>
      <c r="E179" s="143"/>
      <c r="F179"/>
      <c r="H179"/>
      <c r="J179"/>
      <c r="L179"/>
      <c r="P179"/>
    </row>
    <row r="180" spans="4:16">
      <c r="D180" s="144" t="s">
        <v>289</v>
      </c>
      <c r="E180" s="143"/>
      <c r="F180"/>
      <c r="H180"/>
      <c r="J180"/>
      <c r="L180"/>
      <c r="P180"/>
    </row>
    <row r="181" spans="4:16">
      <c r="D181" s="145" t="s">
        <v>288</v>
      </c>
      <c r="E181" s="143"/>
      <c r="F181"/>
      <c r="H181"/>
      <c r="J181"/>
      <c r="L181"/>
      <c r="P181"/>
    </row>
    <row r="182" spans="4:16">
      <c r="D182" s="144" t="s">
        <v>290</v>
      </c>
      <c r="E182" s="143"/>
      <c r="F182"/>
      <c r="H182"/>
      <c r="J182"/>
      <c r="L182"/>
      <c r="P182"/>
    </row>
    <row r="183" spans="4:16">
      <c r="D183" s="145" t="s">
        <v>291</v>
      </c>
      <c r="E183" s="143"/>
      <c r="F183"/>
      <c r="H183"/>
      <c r="J183"/>
      <c r="L183"/>
      <c r="P183"/>
    </row>
    <row r="184" spans="4:16">
      <c r="D184" s="144" t="s">
        <v>292</v>
      </c>
      <c r="E184" s="143"/>
      <c r="F184"/>
      <c r="H184"/>
      <c r="J184"/>
      <c r="L184"/>
      <c r="P184"/>
    </row>
    <row r="185" spans="4:16">
      <c r="D185" s="145" t="s">
        <v>293</v>
      </c>
      <c r="E185" s="143"/>
      <c r="F185"/>
      <c r="H185"/>
      <c r="J185"/>
      <c r="L185"/>
      <c r="P185"/>
    </row>
    <row r="186" spans="4:16">
      <c r="D186" s="144" t="s">
        <v>294</v>
      </c>
      <c r="E186" s="143"/>
      <c r="F186"/>
      <c r="H186"/>
      <c r="J186"/>
      <c r="L186"/>
      <c r="P186"/>
    </row>
    <row r="187" spans="4:16">
      <c r="D187" s="145" t="s">
        <v>295</v>
      </c>
      <c r="E187" s="143"/>
      <c r="F187"/>
      <c r="H187"/>
      <c r="J187"/>
      <c r="L187"/>
      <c r="P187"/>
    </row>
    <row r="188" spans="4:16">
      <c r="D188" s="144" t="s">
        <v>296</v>
      </c>
      <c r="E188" s="143"/>
      <c r="F188"/>
      <c r="H188"/>
      <c r="J188"/>
      <c r="L188"/>
      <c r="P188"/>
    </row>
    <row r="189" spans="4:16">
      <c r="D189" s="145" t="s">
        <v>297</v>
      </c>
      <c r="E189" s="143"/>
      <c r="F189"/>
      <c r="H189"/>
      <c r="J189"/>
      <c r="L189"/>
      <c r="P189"/>
    </row>
    <row r="190" spans="4:16">
      <c r="D190" s="144" t="s">
        <v>298</v>
      </c>
      <c r="E190" s="143"/>
      <c r="F190"/>
      <c r="H190"/>
      <c r="J190"/>
      <c r="L190"/>
      <c r="P190"/>
    </row>
    <row r="191" spans="4:16">
      <c r="D191" s="145" t="s">
        <v>299</v>
      </c>
      <c r="E191" s="143"/>
      <c r="F191"/>
      <c r="H191"/>
      <c r="J191"/>
      <c r="L191"/>
      <c r="P191"/>
    </row>
    <row r="192" spans="4:16">
      <c r="D192" s="144" t="s">
        <v>300</v>
      </c>
      <c r="E192" s="143"/>
      <c r="F192"/>
      <c r="H192"/>
      <c r="J192"/>
      <c r="L192"/>
      <c r="P192"/>
    </row>
    <row r="193" spans="3:16">
      <c r="D193" s="145" t="s">
        <v>301</v>
      </c>
      <c r="E193" s="143"/>
      <c r="F193"/>
      <c r="H193"/>
      <c r="J193"/>
      <c r="L193"/>
      <c r="P193"/>
    </row>
    <row r="194" spans="3:16">
      <c r="D194" s="144" t="s">
        <v>302</v>
      </c>
      <c r="E194" s="143"/>
      <c r="F194"/>
      <c r="H194"/>
      <c r="J194"/>
      <c r="L194"/>
      <c r="P194"/>
    </row>
    <row r="195" spans="3:16">
      <c r="D195" s="145" t="s">
        <v>459</v>
      </c>
      <c r="E195" s="143"/>
      <c r="F195"/>
      <c r="H195"/>
      <c r="J195"/>
      <c r="L195"/>
      <c r="P195"/>
    </row>
    <row r="196" spans="3:16">
      <c r="D196" s="144" t="s">
        <v>303</v>
      </c>
      <c r="E196" s="143"/>
      <c r="F196"/>
      <c r="H196"/>
      <c r="J196"/>
      <c r="L196"/>
      <c r="P196"/>
    </row>
    <row r="197" spans="3:16">
      <c r="D197" s="145" t="s">
        <v>304</v>
      </c>
      <c r="E197" s="143"/>
      <c r="F197"/>
      <c r="H197"/>
      <c r="J197"/>
      <c r="L197"/>
      <c r="P197"/>
    </row>
    <row r="198" spans="3:16">
      <c r="D198" s="144" t="s">
        <v>305</v>
      </c>
      <c r="E198" s="143"/>
      <c r="F198"/>
      <c r="H198"/>
      <c r="J198"/>
      <c r="L198"/>
      <c r="P198"/>
    </row>
    <row r="199" spans="3:16">
      <c r="D199" s="145" t="s">
        <v>306</v>
      </c>
      <c r="E199" s="143"/>
      <c r="F199"/>
      <c r="H199"/>
      <c r="J199"/>
      <c r="L199"/>
      <c r="P199"/>
    </row>
    <row r="200" spans="3:16">
      <c r="D200" s="144" t="s">
        <v>310</v>
      </c>
      <c r="E200" s="143"/>
      <c r="F200"/>
      <c r="H200"/>
      <c r="J200"/>
      <c r="L200"/>
      <c r="P200"/>
    </row>
    <row r="201" spans="3:16">
      <c r="D201" s="145" t="s">
        <v>307</v>
      </c>
      <c r="E201" s="143"/>
      <c r="F201"/>
      <c r="H201"/>
      <c r="J201"/>
      <c r="L201"/>
      <c r="P201"/>
    </row>
    <row r="202" spans="3:16">
      <c r="D202" s="144" t="s">
        <v>308</v>
      </c>
      <c r="E202" s="143"/>
      <c r="F202"/>
      <c r="H202"/>
      <c r="J202"/>
      <c r="L202"/>
      <c r="P202"/>
    </row>
    <row r="203" spans="3:16">
      <c r="D203" s="145" t="s">
        <v>309</v>
      </c>
      <c r="E203" s="143"/>
      <c r="F203"/>
      <c r="H203"/>
      <c r="J203"/>
      <c r="L203"/>
      <c r="P203"/>
    </row>
    <row r="204" spans="3:16">
      <c r="D204" s="144" t="s">
        <v>314</v>
      </c>
      <c r="E204" s="143"/>
      <c r="F204"/>
      <c r="H204"/>
      <c r="J204"/>
      <c r="L204"/>
      <c r="P204"/>
    </row>
    <row r="205" spans="3:16">
      <c r="D205" s="145" t="s">
        <v>313</v>
      </c>
      <c r="E205" s="143"/>
      <c r="F205"/>
      <c r="H205"/>
      <c r="J205"/>
      <c r="L205"/>
      <c r="P205"/>
    </row>
    <row r="206" spans="3:16">
      <c r="D206" s="144" t="s">
        <v>311</v>
      </c>
      <c r="E206" s="143"/>
      <c r="F206"/>
      <c r="H206"/>
      <c r="J206"/>
      <c r="L206"/>
      <c r="P206"/>
    </row>
    <row r="207" spans="3:16">
      <c r="D207" s="145" t="s">
        <v>312</v>
      </c>
      <c r="E207" s="143"/>
      <c r="F207"/>
      <c r="H207"/>
      <c r="J207"/>
      <c r="L207"/>
      <c r="P207"/>
    </row>
    <row r="208" spans="3:16">
      <c r="C208" s="2"/>
      <c r="D208" s="147" t="s">
        <v>500</v>
      </c>
      <c r="E208" s="143"/>
      <c r="F208"/>
      <c r="H208"/>
      <c r="J208"/>
      <c r="L208"/>
      <c r="P208"/>
    </row>
    <row r="209" spans="3:16">
      <c r="C209" s="2"/>
      <c r="D209" s="145" t="s">
        <v>501</v>
      </c>
      <c r="E209" s="143"/>
      <c r="F209"/>
      <c r="H209"/>
      <c r="J209"/>
      <c r="L209"/>
      <c r="P209"/>
    </row>
    <row r="210" spans="3:16">
      <c r="C210" s="2"/>
      <c r="D210" s="144" t="s">
        <v>319</v>
      </c>
      <c r="E210" s="143"/>
      <c r="F210"/>
      <c r="H210"/>
      <c r="J210"/>
      <c r="L210"/>
      <c r="P210"/>
    </row>
    <row r="211" spans="3:16">
      <c r="D211" s="145" t="s">
        <v>320</v>
      </c>
      <c r="E211" s="143"/>
      <c r="F211"/>
      <c r="H211"/>
      <c r="J211"/>
      <c r="L211"/>
      <c r="P211"/>
    </row>
    <row r="212" spans="3:16">
      <c r="D212" s="144" t="s">
        <v>502</v>
      </c>
      <c r="E212" s="143"/>
      <c r="F212"/>
      <c r="H212"/>
      <c r="J212"/>
      <c r="L212"/>
      <c r="P212"/>
    </row>
    <row r="213" spans="3:16">
      <c r="D213" s="145" t="s">
        <v>328</v>
      </c>
      <c r="E213" s="143"/>
      <c r="F213"/>
      <c r="H213"/>
      <c r="J213"/>
      <c r="L213"/>
      <c r="P213"/>
    </row>
    <row r="214" spans="3:16">
      <c r="D214" s="144" t="s">
        <v>321</v>
      </c>
      <c r="E214" s="143"/>
      <c r="F214"/>
      <c r="H214"/>
      <c r="J214"/>
      <c r="L214"/>
      <c r="P214"/>
    </row>
    <row r="215" spans="3:16">
      <c r="D215" s="145" t="s">
        <v>322</v>
      </c>
      <c r="E215" s="143"/>
      <c r="F215"/>
      <c r="H215"/>
      <c r="J215"/>
      <c r="L215"/>
      <c r="P215"/>
    </row>
    <row r="216" spans="3:16">
      <c r="D216" s="144" t="s">
        <v>323</v>
      </c>
      <c r="E216" s="143"/>
      <c r="F216"/>
      <c r="H216"/>
      <c r="J216"/>
      <c r="L216"/>
      <c r="P216"/>
    </row>
    <row r="217" spans="3:16">
      <c r="D217" s="145" t="s">
        <v>324</v>
      </c>
      <c r="E217" s="143"/>
      <c r="F217"/>
      <c r="H217"/>
      <c r="J217"/>
      <c r="L217"/>
      <c r="P217"/>
    </row>
    <row r="218" spans="3:16">
      <c r="D218" s="144" t="s">
        <v>325</v>
      </c>
      <c r="E218" s="143"/>
      <c r="F218"/>
      <c r="H218"/>
      <c r="J218"/>
      <c r="L218"/>
      <c r="P218"/>
    </row>
    <row r="219" spans="3:16">
      <c r="D219" s="145" t="s">
        <v>326</v>
      </c>
      <c r="E219" s="143"/>
      <c r="F219"/>
      <c r="H219"/>
      <c r="J219"/>
      <c r="L219"/>
      <c r="P219"/>
    </row>
    <row r="220" spans="3:16">
      <c r="D220" s="144" t="s">
        <v>327</v>
      </c>
      <c r="E220" s="143"/>
      <c r="F220"/>
      <c r="H220"/>
      <c r="J220"/>
      <c r="L220"/>
      <c r="P220"/>
    </row>
    <row r="221" spans="3:16">
      <c r="D221" s="145" t="s">
        <v>332</v>
      </c>
      <c r="E221" s="143"/>
      <c r="F221"/>
      <c r="H221"/>
      <c r="J221"/>
      <c r="L221"/>
      <c r="P221"/>
    </row>
    <row r="222" spans="3:16">
      <c r="D222" s="144" t="s">
        <v>330</v>
      </c>
      <c r="E222" s="143"/>
      <c r="F222"/>
      <c r="H222"/>
      <c r="J222"/>
      <c r="L222"/>
      <c r="P222"/>
    </row>
    <row r="223" spans="3:16">
      <c r="D223" s="145" t="s">
        <v>331</v>
      </c>
      <c r="E223" s="143"/>
      <c r="F223"/>
      <c r="H223"/>
      <c r="J223"/>
      <c r="L223"/>
      <c r="P223"/>
    </row>
    <row r="224" spans="3:16">
      <c r="D224" s="144" t="s">
        <v>333</v>
      </c>
      <c r="E224" s="143"/>
      <c r="F224"/>
      <c r="H224"/>
      <c r="J224"/>
      <c r="L224"/>
      <c r="P224"/>
    </row>
    <row r="225" spans="4:16">
      <c r="D225" s="145" t="s">
        <v>359</v>
      </c>
      <c r="E225" s="143"/>
      <c r="F225"/>
      <c r="H225"/>
      <c r="J225"/>
      <c r="L225"/>
      <c r="P225"/>
    </row>
    <row r="226" spans="4:16">
      <c r="D226" s="144" t="s">
        <v>335</v>
      </c>
      <c r="E226" s="143"/>
      <c r="F226"/>
      <c r="H226"/>
      <c r="J226"/>
      <c r="L226"/>
      <c r="P226"/>
    </row>
    <row r="227" spans="4:16">
      <c r="D227" s="144" t="s">
        <v>334</v>
      </c>
      <c r="E227" s="143"/>
      <c r="F227"/>
      <c r="H227"/>
      <c r="J227"/>
      <c r="L227"/>
      <c r="P227"/>
    </row>
    <row r="228" spans="4:16">
      <c r="D228" s="145" t="s">
        <v>348</v>
      </c>
      <c r="E228" s="143"/>
      <c r="F228"/>
      <c r="H228"/>
      <c r="J228"/>
      <c r="L228"/>
      <c r="P228"/>
    </row>
    <row r="229" spans="4:16">
      <c r="D229" s="144" t="s">
        <v>349</v>
      </c>
      <c r="E229" s="143"/>
      <c r="F229"/>
      <c r="H229"/>
      <c r="J229"/>
      <c r="L229"/>
      <c r="P229"/>
    </row>
    <row r="230" spans="4:16">
      <c r="D230" s="145" t="s">
        <v>347</v>
      </c>
      <c r="E230" s="143"/>
      <c r="F230"/>
      <c r="H230"/>
      <c r="J230"/>
      <c r="L230"/>
      <c r="P230"/>
    </row>
    <row r="231" spans="4:16">
      <c r="D231" s="144" t="s">
        <v>341</v>
      </c>
      <c r="E231" s="143"/>
      <c r="F231"/>
      <c r="H231"/>
      <c r="J231"/>
      <c r="L231"/>
      <c r="P231"/>
    </row>
    <row r="232" spans="4:16">
      <c r="D232" s="145" t="s">
        <v>345</v>
      </c>
      <c r="E232" s="143"/>
      <c r="F232"/>
      <c r="H232"/>
      <c r="J232"/>
      <c r="L232"/>
      <c r="P232"/>
    </row>
    <row r="233" spans="4:16">
      <c r="D233" s="144" t="s">
        <v>346</v>
      </c>
      <c r="E233" s="143"/>
      <c r="F233"/>
      <c r="H233"/>
      <c r="J233"/>
      <c r="L233"/>
      <c r="P233"/>
    </row>
    <row r="234" spans="4:16">
      <c r="D234" s="145" t="s">
        <v>344</v>
      </c>
      <c r="E234" s="143"/>
      <c r="F234"/>
      <c r="H234"/>
      <c r="J234"/>
      <c r="L234"/>
      <c r="P234"/>
    </row>
    <row r="235" spans="4:16">
      <c r="D235" s="148" t="s">
        <v>460</v>
      </c>
      <c r="E235" s="143"/>
      <c r="F235"/>
      <c r="H235"/>
      <c r="J235"/>
      <c r="L235"/>
      <c r="P235"/>
    </row>
    <row r="236" spans="4:16">
      <c r="D236" s="145" t="s">
        <v>343</v>
      </c>
      <c r="E236" s="143"/>
      <c r="F236"/>
      <c r="H236"/>
      <c r="J236"/>
      <c r="L236"/>
      <c r="P236"/>
    </row>
    <row r="237" spans="4:16">
      <c r="D237" s="144" t="s">
        <v>342</v>
      </c>
      <c r="E237" s="143"/>
      <c r="F237"/>
      <c r="H237"/>
      <c r="J237"/>
      <c r="L237"/>
      <c r="P237"/>
    </row>
    <row r="238" spans="4:16">
      <c r="D238" s="145" t="s">
        <v>461</v>
      </c>
      <c r="E238" s="143"/>
      <c r="F238"/>
      <c r="H238"/>
      <c r="J238"/>
      <c r="L238"/>
      <c r="P238"/>
    </row>
    <row r="239" spans="4:16">
      <c r="D239" s="144" t="s">
        <v>351</v>
      </c>
      <c r="E239" s="143"/>
      <c r="F239"/>
      <c r="H239"/>
      <c r="J239"/>
      <c r="L239"/>
      <c r="P239"/>
    </row>
    <row r="240" spans="4:16">
      <c r="D240" s="145" t="s">
        <v>352</v>
      </c>
      <c r="E240" s="143"/>
      <c r="F240"/>
      <c r="H240"/>
      <c r="J240"/>
      <c r="L240"/>
      <c r="P240"/>
    </row>
    <row r="241" spans="4:16">
      <c r="D241" s="144" t="s">
        <v>462</v>
      </c>
      <c r="E241" s="143"/>
      <c r="F241"/>
      <c r="H241"/>
      <c r="J241"/>
      <c r="L241"/>
      <c r="P241"/>
    </row>
    <row r="242" spans="4:16">
      <c r="D242" s="145" t="s">
        <v>350</v>
      </c>
      <c r="E242" s="143"/>
      <c r="F242"/>
      <c r="H242"/>
      <c r="J242"/>
      <c r="L242"/>
      <c r="P242"/>
    </row>
    <row r="243" spans="4:16">
      <c r="D243" s="144" t="s">
        <v>503</v>
      </c>
      <c r="E243" s="143"/>
      <c r="F243"/>
      <c r="H243"/>
      <c r="J243"/>
      <c r="L243"/>
      <c r="P243"/>
    </row>
    <row r="244" spans="4:16">
      <c r="D244" s="145" t="s">
        <v>353</v>
      </c>
      <c r="E244" s="143"/>
      <c r="F244"/>
      <c r="H244"/>
      <c r="J244"/>
      <c r="L244"/>
      <c r="P244"/>
    </row>
    <row r="245" spans="4:16">
      <c r="D245" s="144" t="s">
        <v>356</v>
      </c>
      <c r="E245" s="143"/>
      <c r="F245"/>
      <c r="H245"/>
      <c r="J245"/>
      <c r="L245"/>
      <c r="P245"/>
    </row>
    <row r="246" spans="4:16">
      <c r="D246" s="145" t="s">
        <v>355</v>
      </c>
      <c r="E246" s="143"/>
      <c r="F246"/>
      <c r="H246"/>
      <c r="J246"/>
      <c r="L246"/>
      <c r="P246"/>
    </row>
    <row r="247" spans="4:16">
      <c r="D247" s="144" t="s">
        <v>354</v>
      </c>
      <c r="E247" s="143"/>
      <c r="F247"/>
      <c r="H247"/>
      <c r="J247"/>
      <c r="L247"/>
      <c r="P247"/>
    </row>
    <row r="248" spans="4:16">
      <c r="D248" s="145" t="s">
        <v>357</v>
      </c>
      <c r="E248" s="143"/>
      <c r="F248"/>
      <c r="H248"/>
      <c r="J248"/>
      <c r="L248"/>
      <c r="P248"/>
    </row>
    <row r="249" spans="4:16">
      <c r="D249" s="144" t="s">
        <v>358</v>
      </c>
      <c r="E249" s="143"/>
      <c r="F249"/>
      <c r="H249"/>
      <c r="J249"/>
      <c r="L249"/>
      <c r="P249"/>
    </row>
    <row r="250" spans="4:16">
      <c r="D250" s="145" t="s">
        <v>360</v>
      </c>
      <c r="E250" s="143"/>
      <c r="F250"/>
      <c r="H250"/>
      <c r="J250"/>
      <c r="L250"/>
      <c r="P250"/>
    </row>
    <row r="251" spans="4:16">
      <c r="D251" s="144" t="s">
        <v>361</v>
      </c>
      <c r="E251" s="143"/>
      <c r="F251"/>
      <c r="H251"/>
      <c r="J251"/>
      <c r="L251"/>
      <c r="P251"/>
    </row>
    <row r="252" spans="4:16">
      <c r="D252" s="145" t="s">
        <v>463</v>
      </c>
      <c r="E252" s="143"/>
      <c r="F252"/>
      <c r="H252"/>
      <c r="J252"/>
      <c r="L252"/>
      <c r="P252"/>
    </row>
    <row r="253" spans="4:16">
      <c r="D253" s="144" t="s">
        <v>362</v>
      </c>
      <c r="E253" s="143"/>
      <c r="F253"/>
      <c r="H253"/>
      <c r="J253"/>
      <c r="L253"/>
      <c r="P253"/>
    </row>
    <row r="254" spans="4:16">
      <c r="D254" s="145" t="s">
        <v>363</v>
      </c>
      <c r="E254" s="143"/>
      <c r="F254"/>
      <c r="H254"/>
      <c r="J254"/>
      <c r="L254"/>
      <c r="P254"/>
    </row>
    <row r="255" spans="4:16">
      <c r="D255" s="144" t="s">
        <v>364</v>
      </c>
      <c r="E255" s="143"/>
      <c r="F255"/>
      <c r="H255"/>
      <c r="J255"/>
      <c r="L255"/>
      <c r="P255"/>
    </row>
    <row r="256" spans="4:16">
      <c r="D256" s="145" t="s">
        <v>366</v>
      </c>
      <c r="E256" s="143"/>
      <c r="F256"/>
      <c r="H256"/>
      <c r="J256"/>
      <c r="L256"/>
      <c r="P256"/>
    </row>
    <row r="257" spans="4:16">
      <c r="D257" s="144" t="s">
        <v>367</v>
      </c>
      <c r="E257" s="143"/>
      <c r="F257"/>
      <c r="H257"/>
      <c r="J257"/>
      <c r="L257"/>
      <c r="P257"/>
    </row>
    <row r="258" spans="4:16">
      <c r="D258" s="145" t="s">
        <v>365</v>
      </c>
      <c r="E258" s="143"/>
      <c r="F258"/>
      <c r="H258"/>
      <c r="J258"/>
      <c r="L258"/>
      <c r="P258"/>
    </row>
    <row r="259" spans="4:16">
      <c r="D259" s="144" t="s">
        <v>368</v>
      </c>
      <c r="E259" s="143"/>
      <c r="F259"/>
      <c r="H259"/>
      <c r="J259"/>
      <c r="L259"/>
      <c r="P259"/>
    </row>
    <row r="260" spans="4:16">
      <c r="D260" s="145" t="s">
        <v>369</v>
      </c>
      <c r="E260" s="143"/>
      <c r="F260"/>
      <c r="H260"/>
      <c r="J260"/>
      <c r="L260"/>
      <c r="P260"/>
    </row>
    <row r="261" spans="4:16">
      <c r="D261" s="144" t="s">
        <v>374</v>
      </c>
      <c r="E261" s="143"/>
      <c r="F261"/>
      <c r="H261"/>
      <c r="J261"/>
      <c r="L261"/>
      <c r="P261"/>
    </row>
    <row r="262" spans="4:16">
      <c r="D262" s="145" t="s">
        <v>370</v>
      </c>
      <c r="E262" s="143"/>
      <c r="F262"/>
      <c r="H262"/>
      <c r="J262"/>
      <c r="L262"/>
      <c r="P262"/>
    </row>
    <row r="263" spans="4:16">
      <c r="D263" s="144" t="s">
        <v>376</v>
      </c>
      <c r="E263" s="143"/>
      <c r="F263"/>
      <c r="H263"/>
      <c r="J263"/>
      <c r="L263"/>
      <c r="P263"/>
    </row>
    <row r="264" spans="4:16">
      <c r="D264" s="145" t="s">
        <v>375</v>
      </c>
      <c r="E264" s="143"/>
      <c r="F264"/>
      <c r="H264"/>
      <c r="J264"/>
      <c r="L264"/>
      <c r="P264"/>
    </row>
    <row r="265" spans="4:16">
      <c r="D265" s="144" t="s">
        <v>373</v>
      </c>
      <c r="E265" s="143"/>
      <c r="F265"/>
      <c r="H265"/>
      <c r="J265"/>
      <c r="L265"/>
      <c r="P265"/>
    </row>
    <row r="266" spans="4:16">
      <c r="D266" s="145" t="s">
        <v>371</v>
      </c>
      <c r="E266" s="143"/>
      <c r="F266"/>
      <c r="H266"/>
      <c r="J266"/>
      <c r="L266"/>
      <c r="P266"/>
    </row>
    <row r="267" spans="4:16">
      <c r="D267" s="148" t="s">
        <v>372</v>
      </c>
      <c r="E267" s="143"/>
      <c r="F267"/>
      <c r="H267"/>
      <c r="J267"/>
      <c r="L267"/>
      <c r="P267"/>
    </row>
    <row r="268" spans="4:16">
      <c r="D268" s="145" t="s">
        <v>377</v>
      </c>
      <c r="E268"/>
      <c r="F268"/>
      <c r="H268"/>
      <c r="J268"/>
      <c r="L268"/>
      <c r="P268"/>
    </row>
    <row r="269" spans="4:16">
      <c r="E269"/>
      <c r="F269"/>
      <c r="H269"/>
      <c r="J269"/>
      <c r="L269"/>
      <c r="P269"/>
    </row>
    <row r="270" spans="4:16">
      <c r="E270"/>
      <c r="F270"/>
      <c r="H270"/>
      <c r="J270"/>
      <c r="L270"/>
      <c r="P270"/>
    </row>
    <row r="271" spans="4:16">
      <c r="E271"/>
      <c r="F271"/>
      <c r="H271"/>
      <c r="J271"/>
      <c r="L271"/>
      <c r="P271"/>
    </row>
    <row r="272" spans="4:16">
      <c r="E272"/>
      <c r="F272"/>
      <c r="H272"/>
      <c r="J272"/>
      <c r="L272"/>
      <c r="P272"/>
    </row>
    <row r="273" spans="5:16">
      <c r="E273"/>
      <c r="F273"/>
      <c r="H273"/>
      <c r="J273"/>
      <c r="L273"/>
      <c r="P273"/>
    </row>
    <row r="274" spans="5:16">
      <c r="E274"/>
      <c r="F274"/>
      <c r="H274"/>
      <c r="J274"/>
      <c r="L274"/>
      <c r="P274"/>
    </row>
    <row r="275" spans="5:16">
      <c r="E275"/>
      <c r="F275"/>
      <c r="H275"/>
      <c r="J275"/>
      <c r="L275"/>
      <c r="P275"/>
    </row>
    <row r="276" spans="5:16">
      <c r="E276"/>
      <c r="F276"/>
      <c r="H276"/>
      <c r="J276"/>
      <c r="L276"/>
      <c r="P276"/>
    </row>
    <row r="277" spans="5:16">
      <c r="E277"/>
      <c r="F277"/>
      <c r="H277"/>
      <c r="J277"/>
      <c r="L277"/>
      <c r="P277"/>
    </row>
    <row r="278" spans="5:16">
      <c r="E278"/>
      <c r="F278"/>
      <c r="H278"/>
      <c r="J278"/>
      <c r="L278"/>
      <c r="P278"/>
    </row>
    <row r="279" spans="5:16">
      <c r="E279"/>
      <c r="F279"/>
      <c r="H279"/>
      <c r="J279"/>
      <c r="L279"/>
      <c r="P279"/>
    </row>
    <row r="280" spans="5:16">
      <c r="E280"/>
      <c r="F280"/>
      <c r="H280"/>
      <c r="J280"/>
      <c r="L280"/>
      <c r="P280"/>
    </row>
    <row r="281" spans="5:16">
      <c r="E281"/>
      <c r="F281"/>
      <c r="H281"/>
      <c r="J281"/>
      <c r="L281"/>
      <c r="P281"/>
    </row>
    <row r="282" spans="5:16">
      <c r="E282"/>
      <c r="F282"/>
      <c r="H282"/>
      <c r="J282"/>
      <c r="L282"/>
      <c r="P282"/>
    </row>
    <row r="283" spans="5:16">
      <c r="E283"/>
      <c r="F283"/>
      <c r="H283"/>
      <c r="J283"/>
      <c r="L283"/>
      <c r="P283"/>
    </row>
    <row r="284" spans="5:16">
      <c r="E284"/>
      <c r="F284"/>
      <c r="H284"/>
      <c r="J284"/>
      <c r="L284"/>
      <c r="P284"/>
    </row>
    <row r="285" spans="5:16">
      <c r="F285"/>
      <c r="P285"/>
    </row>
    <row r="286" spans="5:16">
      <c r="F286"/>
      <c r="P286"/>
    </row>
    <row r="287" spans="5:16">
      <c r="F287"/>
      <c r="P287"/>
    </row>
    <row r="288" spans="5:16">
      <c r="F288"/>
      <c r="P288"/>
    </row>
    <row r="289" spans="6:16">
      <c r="F289"/>
      <c r="P289"/>
    </row>
    <row r="290" spans="6:16">
      <c r="F290"/>
      <c r="P290"/>
    </row>
    <row r="291" spans="6:16">
      <c r="F291"/>
      <c r="P291"/>
    </row>
  </sheetData>
  <hyperlinks>
    <hyperlink ref="K2" r:id="rId1"/>
    <hyperlink ref="D2" r:id="rId2"/>
    <hyperlink ref="F29" r:id="rId3"/>
    <hyperlink ref="F19" r:id="rId4"/>
    <hyperlink ref="A2" r:id="rId5"/>
    <hyperlink ref="N2" r:id="rId6"/>
    <hyperlink ref="H15" r:id="rId7"/>
    <hyperlink ref="K30" r:id="rId8"/>
    <hyperlink ref="H25" r:id="rId9"/>
    <hyperlink ref="H2" r:id="rId10"/>
  </hyperlinks>
  <pageMargins left="0.7" right="0.7" top="0.75" bottom="0.75" header="0.3" footer="0.3"/>
  <pageSetup paperSize="9" orientation="portrait" r:id="rId1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E97264D6E15549B125B6396426526E" ma:contentTypeVersion="0" ma:contentTypeDescription="Create a new document." ma:contentTypeScope="" ma:versionID="bc22437fdaf86e7324497979021bfdd2">
  <xsd:schema xmlns:xsd="http://www.w3.org/2001/XMLSchema" xmlns:xs="http://www.w3.org/2001/XMLSchema" xmlns:p="http://schemas.microsoft.com/office/2006/metadata/properties" xmlns:ns2="4d5313c0-c1e6-4122-afa9-da1ccdba405d" targetNamespace="http://schemas.microsoft.com/office/2006/metadata/properties" ma:root="true" ma:fieldsID="9de19027091ca358749aa7ba6a25f7eb" ns2:_="">
    <xsd:import namespace="4d5313c0-c1e6-4122-afa9-da1ccdba405d"/>
    <xsd:element name="properties">
      <xsd:complexType>
        <xsd:sequence>
          <xsd:element name="documentManagement">
            <xsd:complexType>
              <xsd:all>
                <xsd:element ref="ns2:TaxKeywordTaxHTField" minOccurs="0"/>
                <xsd:element ref="ns2:TaxCatchAll" minOccurs="0"/>
                <xsd:element ref="ns2:TaxCatchAllLabe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5313c0-c1e6-4122-afa9-da1ccdba405d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8" nillable="true" ma:taxonomy="true" ma:internalName="TaxKeywordTaxHTField" ma:taxonomyFieldName="TaxKeyword" ma:displayName="Enterprise Keywords" ma:readOnly="false" ma:fieldId="{23f27201-bee3-471e-b2e7-b64fd8b7ca38}" ma:taxonomyMulti="true" ma:sspId="d535ea34-4ec8-4f57-b85b-d8a79460f026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9" nillable="true" ma:displayName="Taxonomy Catch All Column" ma:description="" ma:hidden="true" ma:list="{b2cc2698-5fc4-4ff6-b1d3-64e75efa1efc}" ma:internalName="TaxCatchAll" ma:readOnly="false" ma:showField="CatchAllData" ma:web="4d5313c0-c1e6-4122-afa9-da1ccdba405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0" nillable="true" ma:displayName="Taxonomy Catch All Column1" ma:description="" ma:hidden="true" ma:list="{b2cc2698-5fc4-4ff6-b1d3-64e75efa1efc}" ma:internalName="TaxCatchAllLabel" ma:readOnly="false" ma:showField="CatchAllDataLabel" ma:web="4d5313c0-c1e6-4122-afa9-da1ccdba405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d5313c0-c1e6-4122-afa9-da1ccdba405d"/>
    <TaxCatchAllLabel xmlns="4d5313c0-c1e6-4122-afa9-da1ccdba405d"/>
    <TaxKeywordTaxHTField xmlns="4d5313c0-c1e6-4122-afa9-da1ccdba405d">
      <Terms xmlns="http://schemas.microsoft.com/office/infopath/2007/PartnerControls"/>
    </TaxKeywordTaxHTField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C92C4D-578B-421C-B3A1-ED10B6ED93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d5313c0-c1e6-4122-afa9-da1ccdba405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FE60B57-8202-4366-9402-E7B5445C389B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4d5313c0-c1e6-4122-afa9-da1ccdba405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8D109C5-D0A2-4A42-BB20-315BD05AA2B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Readme</vt:lpstr>
      <vt:lpstr>FishData</vt:lpstr>
      <vt:lpstr>Vocabularies</vt:lpstr>
      <vt:lpstr>Vocabularies!Category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</dc:creator>
  <cp:lastModifiedBy>Carlos Pinto</cp:lastModifiedBy>
  <dcterms:created xsi:type="dcterms:W3CDTF">2013-03-15T12:30:36Z</dcterms:created>
  <dcterms:modified xsi:type="dcterms:W3CDTF">2019-08-09T12:52:35Z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0x010100F3E97264D6E15549B125B6396426526E</vt:lpwstr>
  </property>
</Properties>
</file>